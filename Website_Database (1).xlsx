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defaultThemeVersion="166925"/>
  <mc:AlternateContent xmlns:mc="http://schemas.openxmlformats.org/markup-compatibility/2006">
    <mc:Choice Requires="x15">
      <x15ac:absPath xmlns:x15ac="http://schemas.microsoft.com/office/spreadsheetml/2010/11/ac" url="https://richmondcc0.sharepoint.com/sites/MarketingTeam/Shared Documents/Website_documents/"/>
    </mc:Choice>
  </mc:AlternateContent>
  <xr:revisionPtr revIDLastSave="0" documentId="8_{2C434DFC-4DF3-4F10-B390-F6217DAFAB8B}" xr6:coauthVersionLast="47" xr6:coauthVersionMax="47" xr10:uidLastSave="{00000000-0000-0000-0000-000000000000}"/>
  <bookViews>
    <workbookView xWindow="-120" yWindow="-120" windowWidth="29040" windowHeight="15720" xr2:uid="{00000000-000D-0000-FFFF-FFFF00000000}"/>
  </bookViews>
  <sheets>
    <sheet name="Programs Unduplicated" sheetId="9" r:id="rId1"/>
    <sheet name="Program Req Blocks Narrative" sheetId="17" r:id="rId2"/>
    <sheet name="Courses" sheetId="10" r:id="rId3"/>
    <sheet name="Course-Requisites" sheetId="14" r:id="rId4"/>
    <sheet name="Program Codes" sheetId="16" r:id="rId5"/>
    <sheet name="Directory" sheetId="18" r:id="rId6"/>
    <sheet name="Transfer Destinations" sheetId="13" r:id="rId7"/>
    <sheet name="Programs-Transfer Destinations" sheetId="12" r:id="rId8"/>
  </sheets>
  <definedNames>
    <definedName name="_xlnm._FilterDatabase" localSheetId="2" hidden="1">Courses!$A$1:$P$396</definedName>
    <definedName name="_xlnm._FilterDatabase" localSheetId="1" hidden="1">'Program Req Blocks Narrative'!$A$1:$L$601</definedName>
    <definedName name="_xlnm._FilterDatabase" localSheetId="6" hidden="1">'Transfer Destinations'!$A$1:$C$39</definedName>
    <definedName name="_xlnm._FilterDatabase" localSheetId="7" hidden="1">'Programs-Transfer Destinations'!$A$1:$C$162</definedName>
    <definedName name="_xlnm._FilterDatabase" localSheetId="4" hidden="1">'Program Codes'!$A$1:$K$97</definedName>
    <definedName name="_xlnm._FilterDatabase" localSheetId="0" hidden="1">'Programs Unduplicated'!$A$1:$AX$121</definedName>
    <definedName name="_xlnm._FilterDatabase" localSheetId="5" hidden="1">Directory!$A$1:$O$214</definedName>
    <definedName name="_xlnm.Print_Area" localSheetId="1">'Program Req Blocks Narrative'!$A$1:$J$502</definedName>
    <definedName name="_xlnm.Print_Titles" localSheetId="1">'Program Req Blocks Narrative'!$1:$1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3" l="1"/>
  <c r="B15" i="13"/>
  <c r="B13" i="13"/>
  <c r="N112" i="9"/>
  <c r="N99" i="9"/>
  <c r="N87" i="9"/>
  <c r="N76" i="9"/>
  <c r="N72" i="9"/>
  <c r="N71" i="9"/>
  <c r="N58" i="9"/>
  <c r="P57" i="9"/>
  <c r="N52" i="9"/>
  <c r="N49" i="9"/>
  <c r="N43" i="9"/>
  <c r="N36" i="9"/>
  <c r="N19" i="9"/>
  <c r="N12" i="9"/>
  <c r="N11" i="9"/>
  <c r="N9" i="9"/>
  <c r="N7" i="9"/>
  <c r="N5" i="9"/>
  <c r="N2" i="9"/>
  <c r="N6" i="9"/>
</calcChain>
</file>

<file path=xl/sharedStrings.xml><?xml version="1.0" encoding="utf-8"?>
<sst xmlns="http://schemas.openxmlformats.org/spreadsheetml/2006/main" count="11449" uniqueCount="4144">
  <si>
    <t xml:space="preserve">Curriculum Program Group Code </t>
  </si>
  <si>
    <t>Program Name</t>
  </si>
  <si>
    <t>Status</t>
  </si>
  <si>
    <t>Business and Finance</t>
  </si>
  <si>
    <t>Adult Education</t>
  </si>
  <si>
    <t>First Responder</t>
  </si>
  <si>
    <t>Industrial Skilled Trade</t>
  </si>
  <si>
    <t>Health &amp; Human Services </t>
  </si>
  <si>
    <t>University Transfer: Transfer Pathway</t>
  </si>
  <si>
    <t>Education and Public Services</t>
  </si>
  <si>
    <t>Engineering &amp; Computer Technology</t>
  </si>
  <si>
    <t>Personal Enrichment </t>
  </si>
  <si>
    <t>Continuing Education</t>
  </si>
  <si>
    <t>Curriculum Degree</t>
  </si>
  <si>
    <t>Curriculum Diploma</t>
  </si>
  <si>
    <t>Curriculum Certificate</t>
  </si>
  <si>
    <t>CIP Code</t>
  </si>
  <si>
    <t>Online</t>
  </si>
  <si>
    <t>Degree</t>
  </si>
  <si>
    <t>Diploma</t>
  </si>
  <si>
    <t>Certificate</t>
  </si>
  <si>
    <t>Highschool Pathways</t>
  </si>
  <si>
    <t>Workforce Certificate</t>
  </si>
  <si>
    <t>Other</t>
  </si>
  <si>
    <t>ISA</t>
  </si>
  <si>
    <t>CEU</t>
  </si>
  <si>
    <t>Career Coach Widget Double Pane</t>
  </si>
  <si>
    <t>Career Coach Widget Single Pane</t>
  </si>
  <si>
    <t>School 1</t>
  </si>
  <si>
    <t>School 2</t>
  </si>
  <si>
    <t>School 3</t>
  </si>
  <si>
    <t>School 4</t>
  </si>
  <si>
    <t>School 5</t>
  </si>
  <si>
    <t>School 6</t>
  </si>
  <si>
    <t>School 7</t>
  </si>
  <si>
    <t>School 8</t>
  </si>
  <si>
    <t>School 9</t>
  </si>
  <si>
    <t>School 10</t>
  </si>
  <si>
    <t>School 11</t>
  </si>
  <si>
    <t>School 12</t>
  </si>
  <si>
    <t>School 13</t>
  </si>
  <si>
    <t>School 14</t>
  </si>
  <si>
    <t>Description</t>
  </si>
  <si>
    <t>Photo Link</t>
  </si>
  <si>
    <t>Video Link</t>
  </si>
  <si>
    <t>In State Cost</t>
  </si>
  <si>
    <t>Out of State Cost</t>
  </si>
  <si>
    <t>25800</t>
  </si>
  <si>
    <t>Accounting &amp; Finance</t>
  </si>
  <si>
    <t>Active</t>
  </si>
  <si>
    <t> </t>
  </si>
  <si>
    <t xml:space="preserve">&lt;!-- Accounting &amp; Finance --&gt;
&lt;iframe onload="initalizeScripts('widget-0893a4a9', 'https://widget.emsicc.com')" id="widget-0893a4a9" title="richmondcc widget" style="border: 0; min-width: 100%; width: 1px" src="https://widget.emsi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amp;visitButtonColor=%238E1F32&amp;headingText=At%20Richmond%20Community%20College%2C%20our%20students%20who%20study%20%23Accounting%20%26%20Finance%23%20can%20go%20into%20these%20careers%3A"&gt;&lt;/iframe&gt;&lt;script type="text/javascript" src="https://widget.emsicc.com/scripts.js"&gt;&lt;/script&gt;
        </t>
  </si>
  <si>
    <t>&lt;!-- Accounting &amp; Finance --&gt;
  &lt;iframe onload="initializeScripts('program-widget-586f82', 'https://widget.lightcastcc.com')" id="program-widget-586f82"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amp;visitButtonColor=%238E1F32&amp;headingText=Our%20students%20can%20go%20into%20these%20careers%3A"&gt;&lt;/iframe&gt;&lt;script type="text/javascript" src="https://widget.lightcastcc.com/scripts.js"&gt;&lt;/script&gt;</t>
  </si>
  <si>
    <t>Fayetteville State</t>
  </si>
  <si>
    <t>UNCG</t>
  </si>
  <si>
    <t>The Citadel</t>
  </si>
  <si>
    <t>Franklin University</t>
  </si>
  <si>
    <t>Western Governors University</t>
  </si>
  <si>
    <t>Gardner Webb</t>
  </si>
  <si>
    <t>Grand Canyon University</t>
  </si>
  <si>
    <t>The Accounting and Finance curriculum is designed to provide students with the knowledge and the skills necessary for employment and growth in the accounting and finance profession. Accounting and finance professionals assemble and analyze, process, and communicate essential information about financial operations.&lt;br /&gt;
&lt;br /&gt;
Course work may include accounting, finance, ethics, business law, computer applications, financial planning, insurance, marketing, real estate, selling, and taxation. Related skills are developed through the study of communications, computer applications, financial analysis, critical thinking skills, and ethics.&lt;br /&gt;
&lt;br /&gt;
Graduates should qualify for entry-level accounting and finance positions in many types of organizations including accounting firms, small businesses, manufacturing firms, banks, hospitals, school systems, and governmental agencies.&lt;br /&gt;</t>
  </si>
  <si>
    <t>Accounting_Finance_Website_1.jpg</t>
  </si>
  <si>
    <t/>
  </si>
  <si>
    <t>Adult High School Diploma</t>
  </si>
  <si>
    <t>No Cost</t>
  </si>
  <si>
    <t>&lt;!-- Adult High School Diploma/High School Equivalency --&gt;
  &lt;iframe onload="initializeScripts('program-widget-266ffb', 'https://widget.lightcastcc.com')" id="program-widget-266ffb"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89&amp;visitButtonColor=%238E1F32&amp;headingText=Our%20students%20can%20go%20into%20these%20careers%3A"&gt;&lt;/iframe&gt;&lt;script type="text/javascript" src="https://widget.lightcastcc.com/scripts.js"&gt;&lt;/script&gt;</t>
  </si>
  <si>
    <t>None</t>
  </si>
  <si>
    <t>At our campuses in Hamlet and Laurinburg, Richmond Community College offers an Adult High School diploma program for students who:&lt;br /&gt;
&lt;br /&gt;
Attend and complete an assessment/orientation session.
Score a minimum of 8.9 on the assessment test.&lt;br /&gt;
&lt;br /&gt;
Are 16 or 17 years old and have submitted additional forms.
Provide an official sealed transcript from the last high school they attended.&lt;br /&gt;
&lt;br /&gt;
Twenty-two (22) credits are required to earn the AHS Diploma. Required courses for RichmondCC's Adult High School Diploma program are:&lt;br /&gt;
&lt;br /&gt;
English (4 units)&lt;br /&gt;
&lt;br /&gt;
Science (3 units)&lt;br /&gt;
&lt;br /&gt;
Social Studies (4 units)&lt;br /&gt;
&lt;br /&gt;
Math (4 units)&lt;br /&gt;
&lt;br /&gt;
Health/PE (1 unit)&lt;br /&gt;
&lt;br /&gt;
Electives (6 units)&lt;br /&gt;
&lt;br /&gt;
AHS diploma graduates receive their Adult High School diploma from Richmond or Scotland County Board of Education in conjunction with Richmond Community College. &lt;br /&gt;
&lt;br /&gt;For More Information&lt;br /&gt;
&lt;br /&gt;(910) 410-1700</t>
  </si>
  <si>
    <t>AHS_website.png</t>
  </si>
  <si>
    <t>Advanced Emergency Medical Technician </t>
  </si>
  <si>
    <t>Inactive</t>
  </si>
  <si>
    <t>&lt;!-- Advanced Emergency Medical Technician --&gt;
  &lt;iframe onload="initializeScripts('program-widget-8b2f50', 'https://widget.lightcastcc.com')" id="program-widget-8b2f50"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104&amp;visitButtonColor=%238E1F32&amp;headingText=Our%20students%20can%20go%20into%20these%20careers%3A"&gt;&lt;/iframe&gt;&lt;script type="text/javascript" src="https://widget.lightcastcc.com/scripts.js"&gt;&lt;/script&gt;</t>
  </si>
  <si>
    <t>Prepare for a career as an advanced emergency medical technician (AEMT). This course will prepare you for certification as an AEMT. You will learn life support, basic patient care and emergency response methods.
Pre-requisites
In order to enroll in these courses you:
Must be at least 18 years of age.
Must have a high school diploma or GED and provide proof.
Must provide a copy of a valid driver’s license/ID and Social Security Card.
Must take the Accuplacer Reading test and score at least a 66 or higher or submit scores from an accredited institution or submit a transcript that shows that you have tested out of a reading class.
Must have a math test score of 55 or submission of scores from an accredited institution or a submission of a transcript that shows that you have tested out of MAT 060 with a C or have two-year degree.
Completion of the EMT (Basic)</t>
  </si>
  <si>
    <t>EMS_website_1.jpg</t>
  </si>
  <si>
    <t>35100</t>
  </si>
  <si>
    <t>Air Conditioning, Heating &amp; Refrigeration Technology</t>
  </si>
  <si>
    <t>&lt;!-- Air Conditioning, Heating, and Refrigeration Technology --&gt;
  &lt;iframe onload="initializeScripts('program-widget-3906ab', 'https://widget.lightcastcc.com')" id="program-widget-3906ab"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6&amp;visitButtonColor=%238E1F32&amp;headingText=Our%20students%20can%20go%20into%20these%20careers%3A"&gt;&lt;/iframe&gt;&lt;script type="text/javascript" src="https://widget.lightcastcc.com/scripts.js"&gt;&lt;/script&gt;</t>
  </si>
  <si>
    <t xml:space="preserve">East Carolina University </t>
  </si>
  <si>
    <t>The Air Conditioning, Heating, and Refrigeration Technology curriculum provides the basic knowledge to develop skills necessary to work with residential and light commercial systems.&lt;br /&gt;
&lt;br /&gt;
Topics include mechanical refrigeration, heating and cooling theory, electricity, controls, and safety. The diploma program covers air conditioning, furnaces, heat pumps, tools, and instruments. In addition, the AAS degree covers residential building codes, residential system sizing, and advanced comfort systems.&lt;br /&gt;
&lt;br /&gt;
Diploma graduates should be able to assist in the start up, preventive maintenance, service, repair, and/or installation of residential and light commercial systems. AAS degree graduates should be able to demonstrate an understanding of system selection and balance and advanced systems.&lt;br /&gt;</t>
  </si>
  <si>
    <t>HVAC_website_4.jpg</t>
  </si>
  <si>
    <t>45110</t>
  </si>
  <si>
    <t>Associate Degree Nursing</t>
  </si>
  <si>
    <t>&lt;!-- Associate Degree Nursing --&gt;
  &lt;iframe onload="initializeScripts('program-widget-ad4eaf', 'https://widget.lightcastcc.com')" id="program-widget-ad4eaf"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73&amp;visitButtonColor=%238E1F32&amp;headingText=Our%20students%20can%20go%20into%20these%20careers%3A"&gt;&lt;/iframe&gt;&lt;script type="text/javascript" src="https://widget.lightcastcc.com/scripts.js"&gt;&lt;/script&gt;</t>
  </si>
  <si>
    <t>Aspen University</t>
  </si>
  <si>
    <t>Carolina's College of Health Sciences</t>
  </si>
  <si>
    <t>NC A&amp;T</t>
  </si>
  <si>
    <t>UNC Pembroke</t>
  </si>
  <si>
    <t>Pfeiffer</t>
  </si>
  <si>
    <t>Western Governors School</t>
  </si>
  <si>
    <t>Winston Salem</t>
  </si>
  <si>
    <t>Apsire Appalachian</t>
  </si>
  <si>
    <t>The Associate Degree Nursing curriculum provides knowledge, skills, and strategies to integrate safety and quality into nursing care, to practice in a dynamic environment, and to meet individual needs which impact health, quality of life, and achievement of potential.&lt;br /&gt;
&lt;br /&gt;
Course work includes and builds upon the domains of healthcare, nursing practice, and the holistic individual. Content emphasizes the nurse as a member of the interdisciplinary team providing safe, individualize care while employing evidence-based practice, quality improvement, and informatics.&lt;br /&gt;
&lt;br /&gt;
Graduates of this program are eligible to apply to take the National Council Licensure Examination (NCLEX-RN). Employment opportunities are vast within the global health care system and may include positions within acute, chronic, extended, industrial, and community health care facilities.&lt;br /&gt;</t>
  </si>
  <si>
    <t>ADN_website.jpg</t>
  </si>
  <si>
    <t>10100</t>
  </si>
  <si>
    <t>Associate in Arts</t>
  </si>
  <si>
    <t>&lt;!-- Associate in Arts --&gt;
  &lt;iframe onload="initializeScripts('program-widget-be8ced', 'https://widget.lightcastcc.com')" id="program-widget-be8ced"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99&amp;visitButtonColor=%238E1F32&amp;headingText=Our%20students%20can%20go%20into%20these%20careers%3A"&gt;&lt;/iframe&gt;&lt;script type="text/javascript" src="https://widget.lightcastcc.com/scripts.js"&gt;&lt;/script&gt;</t>
  </si>
  <si>
    <t>East Carolina</t>
  </si>
  <si>
    <t>UNC Wilmington</t>
  </si>
  <si>
    <t>UNC Greensboro</t>
  </si>
  <si>
    <t>Gardner Webb University</t>
  </si>
  <si>
    <t>Pfeiffer University</t>
  </si>
  <si>
    <t>Lees-McRae College</t>
  </si>
  <si>
    <t>NC State University</t>
  </si>
  <si>
    <t>UNC Chapel Hill</t>
  </si>
  <si>
    <t>Wingate University</t>
  </si>
  <si>
    <t>Richmond Community College offers two associate degree programs designed to allow seamless transition to four-year institutions:  Associate in Arts (A.A.) and Associate in Science (A.S.).&lt;br /&gt;
&lt;br /&gt;
The Associate in Arts program is designed for students desiring a bachelor’s degree and/or pre-professional training in areas other than fine arts and natural/biological/mathematical sciences. Students who plan to major in such disciplines as art, business, economics, history, humanities, liberal arts, liberal arts education, music, political science, psychology, and sociology should consult a counselor about enrolling in the AA program.&lt;br /&gt;
&lt;br /&gt;
The Associate in Arts degree shall be granted for a planned program of study consisting of a minimum of 60 semester hours of credit (SHC) of college transfer courses. Within the degree program, the institution shall include opportunities for the achievement of competence in reading, writing, oral communication, fundamental mathematical skills, and basic computer use.&lt;br /&gt;
&lt;br /&gt;
The Comprehensive Articulation Agreement (CAA) and the Independent Comprehensive Articulation Agreement (ICAA) enables North Carolina community college graduates of two-year associate in arts programs who are admitted to constituent institutions of The University of North Carolina and to Signatory Institutions of North Carolina Independent Colleges and Universities to transfer with junior status.&lt;br /&gt;
&lt;br /&gt;
Community college graduates must obtain a grade of "C" or better in each course and an overall GPA of at least 2.0 on a 4.0 scale in order to transfer with a junior status. Courses may also transfer through bilateral agreements between institutions.&lt;br /&gt;
&lt;br /&gt;
&lt;b&gt;&lt;i&gt;Transfer programs such as this require a "C" or better in all classes to graduate.&lt;/i&gt;&lt;/b&gt;&lt;br /&gt;</t>
  </si>
  <si>
    <t>Associate_Arts_website_1.jpg</t>
  </si>
  <si>
    <t>1010T</t>
  </si>
  <si>
    <t>Associate in Arts – Teacher Preparation</t>
  </si>
  <si>
    <t>&lt;!-- Associate in Arts - Teacher Preparation --&gt;
  &lt;iframe onload="initializeScripts('program-widget-e558d6', 'https://widget.lightcastcc.com')" id="program-widget-e558d6"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154&amp;visitButtonColor=%238E1F32&amp;headingText=Our%20students%20can%20go%20into%20these%20careers%3A"&gt;&lt;/iframe&gt;&lt;script type="text/javascript" src="https://widget.lightcastcc.com/scripts.js"&gt;&lt;/script&gt;</t>
  </si>
  <si>
    <t>Richmond Community College offers two associate degree programs designed to allow seamless transition to four-year institutions:  Associate in Arts (AA) and Associate in Science (AS). These programs are designed to offer students the freshman and sophomore years of a baccalaureate-track program. &lt;br /&gt;
&lt;br /&gt;
The Associate in Arts in Teacher Preparation degree shall be granted for a planned program of study consisting of a minimum of 60 semester hours of credit (SHC) of college transfer courses. Within the degree program, the institution shall include opportunities for the achievement of competence in reading, writing, oral communication, fundamental mathematical skills, and basic computer use.&lt;br /&gt;
&lt;br /&gt;
The Comprehensive Articulation Agreement (CAA) and the Independent Comprehensive Articulation Agreement (ICAA) enables North Carolina community college graduates of two-year associate in arts programs who are admitted to constituent institutions of The University of North Carolina and to Signatory Institutions of North Carolina Independent Colleges and Universities to transfer with junior status.&lt;br /&gt;
&lt;br /&gt;
Community college graduates must obtain a grade of "C" or better in each course and an overall GPA of at least 2.7 on a 4.0 scale in order to transfer with a junior status. Courses may also transfer through bilateral agreements between institutions.&lt;br /&gt;
&lt;br /&gt;
If your intention is to transfer to a four-year institution, consult with a counselor to make sure you enroll in the correct college transfer track offered at RichmondCC. Additionally, counselors and advisors can help students design a program of study that best fits the student’s career plan.&lt;br /&gt;
&lt;br /&gt;
&lt;b&gt;&lt;i&gt;Transfer programs such as this require a "C" or better in all classes to graduate.&lt;/i&gt;&lt;/b&gt;&lt;br /&gt;</t>
  </si>
  <si>
    <t>Associate_in_Arts_Teacher_prep_website.jpg</t>
  </si>
  <si>
    <t>10500</t>
  </si>
  <si>
    <t>Associate in Engineering</t>
  </si>
  <si>
    <t>&lt;!-- Associate in Engineering --&gt;
  &lt;iframe onload="initializeScripts('program-widget-551f4d', 'https://widget.lightcastcc.com')" id="program-widget-551f4d"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197&amp;visitButtonColor=%238E1F32&amp;headingText=Our%20students%20can%20go%20into%20these%20careers%3A"&gt;&lt;/iframe&gt;&lt;script type="text/javascript" src="https://widget.lightcastcc.com/scripts.js"&gt;&lt;/script&gt;</t>
  </si>
  <si>
    <t>Western Carolina University</t>
  </si>
  <si>
    <t>Excelsior College</t>
  </si>
  <si>
    <t>UNC Charlotte</t>
  </si>
  <si>
    <t>&lt;p&gt;&lt;b&gt;&lt;i&gt;EFFECTIVE 2024 FALL:  THIS PROGRAM IS IN TEACH-OUT STATUS.&lt;br /&gt;
NO NEW STUDENTS WILL BE ENROLLED 2024 FALL OR AFTER.&lt;br /&gt;
CURRENT STUDENTS MUST COMPLETE THE PROGRAM BY 2026 SPRING.&lt;/i&gt;&lt;/b&gt;
&lt;/p&gt;
&lt;p&gt;
The Associate in Engineering (AE) degree shall be granted for a planned program of study consisting of a minimum of 60 semester hours of credit (SHC) of courses. Within the degree program, the institution shall include opportunities for the achievement of competence in reading, writing, oral communication, fundamental mathematical skills, and basic computer use.&lt;/p&gt;
&lt;p&gt;
The degree plan includes required general education and prerequisite courses that are acceptable to all state funded Bachelor of Engineering programs. Students who follow the degree progression plan will meet the entrance requirements at all of the North Carolina public Bachelor of Science Engineering programs. Associate in Engineering graduates may then apply to any of these programs without taking additional and sometimes duplicative courses. Admission to Engineering programs is highly competitive and admission is not guaranteed.&lt;/p&gt;
&lt;p&gt;
To be eligible for the transfer of credits under the AE to the Bachelor of Science in Engineering Articulation Agreement, community college graduates must obtain a grade of "C" or better in each course and an overall GPA of at least 2.5 on a 4.0 scale.&lt;/p&gt;
&lt;p&gt;
&lt;b&gt;&lt;i&gt;Transfer programs such as this require a "C" or better in all classes to graduate.&lt;/i&gt;&lt;/b&gt;&lt;/p&gt;</t>
  </si>
  <si>
    <t>Associate_in_Engineering_website.jpg</t>
  </si>
  <si>
    <t>10600</t>
  </si>
  <si>
    <t>Associate in Fine Arts in Visual Arts </t>
  </si>
  <si>
    <t>&lt;p&gt;&lt;b&gt;&lt;i&gt;EFFECTIVE 2024 FALL:  THIS PROGRAM IS IN TEACH-OUT STATUS.&lt;br /&gt;
NO NEW STUDENTS WILL BE ENROLLED 2024 FALL OR AFTER.&lt;br /&gt;
CURRENT STUDENTS MUST COMPLETE THE PROGRAM BY 2026 SPRING.&lt;/i&gt;&lt;/b&gt;&lt;/p&gt;
&lt;p&gt;
Richmond Community College offers four associate degree programs designed to allow seamless transition to four-year institutions:  Associate in Arts (AA), Associate in Science (AS), Associate in Engineering (AE) and the Associate in Fine Arts in Visual Arts (AFAVA). These programs are designed to offer students the freshman and sophomore years of a baccalaureate-track program.&lt;/p&gt;
&lt;p&gt;
The Associate in Fine Arts in Visual Arts program is designed to prepare students to transfer to one of the UNC Bachelor in Fine Arts (BFA) in Visual Arts programs. The Associate in Fine Arts in Visual Arts degree shall be granted for a planned program of study consisting of a minimum of 60 semester hours of credit (SHC) of college transfer courses. Within the degree program, the institution shall include opportunities for the achievement of competence in reading, writing, oral communication, fundamental mathematical skills, and basic computer use. More specifically, students foster a great understanding of social and personal responsibility, communication, critical thinking, and technical literacy.&lt;/p&gt;
&lt;p&gt;
AFA in Visual Arts graduates must meet the portfolio submission requirements and associated timelines as published by each BFA program. Admission to a visual arts program is competitive and acceptance into any BFA program is not guaranteed. Each student must follow the admissions process of the specific receiving university.&lt;/p&gt;
&lt;p&gt;
AFA in Visual Arts graduates must obtain a grade of "C" or better in each course and an overall GPA of at least 2.0 on a 4.0 scale in order to transfer under the AFAVA to BFA Articulation Agreement. Courses may also transfer through bilateral agreements between institutions.&lt;/p&gt;
&lt;p&gt;
&lt;b&gt;&lt;i&gt;Transfer programs such as this require a "C" or better in all classes to graduate.&lt;/i&gt;&lt;/b&gt;&lt;/p&gt;</t>
  </si>
  <si>
    <t>AFA_Visual_Art_Website_1.jpg</t>
  </si>
  <si>
    <t>1040T</t>
  </si>
  <si>
    <t>Associate in Science – Teacher Preparation</t>
  </si>
  <si>
    <t>&lt;!-- Associate in Science - Teacher Preparation --&gt;
  &lt;iframe onload="initializeScripts('program-widget-26f104', 'https://widget.lightcastcc.com')" id="program-widget-26f104"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153&amp;visitButtonColor=%238E1F32&amp;headingText=Our%20students%20can%20go%20into%20these%20careers%3A"&gt;&lt;/iframe&gt;&lt;script type="text/javascript" src="https://widget.lightcastcc.com/scripts.js"&gt;&lt;/script&gt;</t>
  </si>
  <si>
    <t>Richmond Community College offers two associate degree programs designed to allow seamless transition to four-year institutions:  Associate in Arts (AA) and Associate in Science (AS). These programs are designed to offer students the freshman and sophomore years of a baccalaureate-track program.&lt;br /&gt;
&lt;br /&gt;
The Associate in Science in Teacher Preparation degree shall be granted for a planned program of study consisting of a minimum of 60 semester hours of credit (SHC) of college transfer courses. Within the degree program, the institution shall include opportunities for the achievement of competence in reading, writing, oral communication, fundamental mathematical skills, and the basic computer use.&lt;br /&gt;
&lt;br /&gt;
The Comprehensive Articulation Agreement (CAA) and the Independent Comprehensive Articulation Agreement (ICAA) enables North Carolina community college graduates of two-year associate in science programs who are admitted to constituent institutions of The University of North Carolina and to Signatory Institutions of North Carolina Independent Colleges and Universities to transfer with junior status.&lt;br /&gt;
&lt;br /&gt;
Community college graduates must obtain a grade of "C" or better in each course and an overall GPA of at least 2.7 on a 4.0 scale in order to transfer with a junior status. Courses may also transfer through bilateral agreements between institutions.&lt;br /&gt;
&lt;br /&gt;
If your intention is to transfer to a four-year institution, consult with a counselor to make sure you enroll in the correct college transfer track offered at RichmondCC. Additionally, counselors and advisors can help students design a program of study that best fits the student’s career plan.&lt;br /&gt;
&lt;br /&gt;
&lt;b&gt;&lt;i&gt;Transfer programs such as this require a "C" or better in all classes to graduate.&lt;/i&gt;&lt;/b&gt;&lt;br /&gt;</t>
  </si>
  <si>
    <t>Associate_in_Arts_Teacher_prep_2_website.jpg</t>
  </si>
  <si>
    <t>10400</t>
  </si>
  <si>
    <t>Associate in Science </t>
  </si>
  <si>
    <t>&lt;!-- Associate in Science --&gt;
  &lt;iframe onload="initializeScripts('program-widget-f3cb69', 'https://widget.lightcastcc.com')" id="program-widget-f3cb69"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101&amp;visitButtonColor=%238E1F32&amp;headingText=Our%20students%20can%20go%20into%20these%20careers%3A"&gt;&lt;/iframe&gt;&lt;script type="text/javascript" src="https://widget.lightcastcc.com/scripts.js"&gt;&lt;/script&gt;</t>
  </si>
  <si>
    <t>Nc A&amp;T</t>
  </si>
  <si>
    <t>Richmond Community College offers two associate degree programs designed to allow seamless transition to four-year institutions:  Associate in Arts (AA) and Associate in Science (AS). These programs are designed to offer students the freshman and sophomore years of a baccalaureate-track program.&lt;br /&gt;
&lt;br /&gt;
The Associate in Science program is designed for students desiring a bachelor’s degree and/or pre-professional training in biological, mathematical, or natural science disciplines.&lt;br /&gt;
&lt;br /&gt;
The Associate in Science degree shall be granted for a planned program of study consisting of a minimum of 60 semester hours of credit (SHC) of college transfer courses. Within the degree program, the institution shall include opportunities for the achievement of competence in reading, writing, oral communication, fundamental mathematical skills, and the basic computer use.&lt;br /&gt;
&lt;br /&gt;
The Comprehensive Articulation Agreement (CAA) and the Independent Comprehensive Articulation Agreement (ICAA) enables North Carolina community college graduates of two-year associate in science programs who are admitted to constituent institutions of The University of North Carolina and to Signatory Institutions of North Carolina Independent Colleges and Universities to transfer with junior status.&lt;br /&gt;
&lt;br /&gt;
Community college graduates must obtain a grade of "C" or better in each course and an overall GPA of at least 2.0 on a 4.0 scale in order to transfer with a junior status. Courses may also transfer through bilateral agreements between institutions.&lt;br /&gt;
&lt;br /&gt;
&lt;b&gt;&lt;i&gt;Transfer programs such as this require a "C" or better in all classes to graduate.&lt;/i&gt;&lt;/b&gt;&lt;br /&gt;</t>
  </si>
  <si>
    <t>Associate_science_Website_1.jpg</t>
  </si>
  <si>
    <t>10400W</t>
  </si>
  <si>
    <t>Associate in Science-Pre-Pharmacy, Wingate</t>
  </si>
  <si>
    <t>&lt;p&gt;The Wingate University School of Pharmacy and Richmond Community College have agreed to partner in an effort to outline a specific pathway for students to obtain an Associate in Science degree that also meets the prerequisite coursework requirements for application to the Wingate University School of Pharmacy.&lt;/p&gt;
&lt;p&gt;Students seeking entry into the Wingate University School of Pharmacy will meet all prerequisite course requirements for application by completing this Associate in Science Degree – Pre-Pharmacy Pathway. Additionally, this curriculum adheres to the North Carolina Community College System guidelines for an Associate in Science degree.&amp;nbsp; Since admission into the Wingate School of Pharmacy is not guaranteed, if a student is not admitted to the Wingate University School of Pharmacy, the Associate of Science degree can also be used to transfer to a bachelor degree program.&lt;/p&gt;</t>
  </si>
  <si>
    <t>Pharmacy_Wingate_website.jpg</t>
  </si>
  <si>
    <t>Auto CAD </t>
  </si>
  <si>
    <t>$180 plus fees</t>
  </si>
  <si>
    <t>&lt;!-- AutoCAD --&gt;
  &lt;iframe onload="initializeScripts('program-widget-f485ec', 'https://widget.lightcastcc.com')" id="program-widget-f485ec"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158&amp;visitButtonColor=%238E1F32&amp;headingText=Our%20students%20can%20go%20into%20these%20careers%3A"&gt;&lt;/iframe&gt;&lt;script type="text/javascript" src="https://widget.lightcastcc.com/scripts.js"&gt;&lt;/script&gt;</t>
  </si>
  <si>
    <t>Auto CAD 
Auto CAD  will prepare you for a career as a drafter/designer. AutoCADThis online course introduces you to Computer Aided Drafting (CAD), a software program that allows you to draft construction documents, explore design ideas, visualize concepts through renderings, and simulate how a design performs in the real world. Upon completion of this introductory course, you will be able to produce and plot a CAD drawing.
This class does have computer system requirements.
TOPICS
2-D and Isometric Drawings
Editing
File Management
Plotting
WIDE-RANGE OF CAREER OPPORTUNITIES
CAD is an important industrial art extensively used in many fields, including automotive, shipbuilding, aerospace, architectural design, prosthetics and many more. CAD is also widely used to produce computer animation for special effects in movies, advertising and technical manuals.</t>
  </si>
  <si>
    <t>Auto_Cad_Website.png</t>
  </si>
  <si>
    <t>Auto Dealers' License Renewal</t>
  </si>
  <si>
    <t>&lt;!-- Auto Dealers' License Renewal --&gt;
  &lt;iframe onload="initializeScripts('program-widget-dd97bc', 'https://widget.lightcastcc.com')" id="program-widget-dd97bc"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106&amp;visitButtonColor=%238E1F32&amp;headingText=Our%20students%20can%20go%20into%20these%20careers%3A"&gt;&lt;/iframe&gt;&lt;script type="text/javascript" src="https://widget.lightcastcc.com/scripts.js"&gt;&lt;/script&gt;</t>
  </si>
  <si>
    <t>This one-day course meets the six-hour training requirement for individuals renewing their Motor Vehicles Dealers’ License. The course is equal to 6 CEU credit hours.&lt;br /&gt;
&lt;br /&gt;For More Information&lt;br /&gt;
&lt;br /&gt;(910) 410-1700</t>
  </si>
  <si>
    <t>auto_dealers_license_renewal_website.png</t>
  </si>
  <si>
    <t>Banking Fundamentals</t>
  </si>
  <si>
    <t>&lt;!-- Banking Fundamentals --&gt;
  &lt;iframe onload="initializeScripts('program-widget-91a1b6', 'https://widget.lightcastcc.com')" id="program-widget-91a1b6"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108&amp;visitButtonColor=%238E1F32&amp;headingText=Our%20students%20can%20go%20into%20these%20careers%3A"&gt;&lt;/iframe&gt;&lt;script type="text/javascript" src="https://widget.lightcastcc.com/scripts.js"&gt;&lt;/script&gt;</t>
  </si>
  <si>
    <t>&lt;p&gt;Banking Fundamentals is an online course that provides&amp;nbsp;the basics of banking services and the duties of a bank teller within the&amp;nbsp;banking industry. A high school diploma or GED is required to take this course.&amp;nbsp;&lt;em&gt;&lt;strong&gt;First Bank will offer interviews to anyone who successfully completes this course.&lt;/strong&gt; &lt;/em&gt;&lt;/p&gt;</t>
  </si>
  <si>
    <t>Banking_Fundamentals_Website.png</t>
  </si>
  <si>
    <t>Bartending 101 </t>
  </si>
  <si>
    <t>&lt;!-- Bartending 101 --&gt;
  &lt;iframe onload="initializeScripts('program-widget-757219', 'https://widget.lightcastcc.com')" id="program-widget-757219"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109&amp;visitButtonColor=%238E1F32&amp;headingText=Our%20students%20can%20go%20into%20these%20careers%3A"&gt;&lt;/iframe&gt;&lt;script type="text/javascript" src="https://widget.lightcastcc.com/scripts.js"&gt;&lt;/script&gt;</t>
  </si>
  <si>
    <t>Learn a variety of drink recipes and how to pour quickly, keep your cool and have fun behind the bar with this entry level class on bartending.&lt;br /&gt;
&lt;br /&gt;
Course Topics:&lt;br /&gt;
&lt;br /&gt;
Terminology&lt;br /&gt;
&lt;br /&gt;
Setting up a bar&lt;br /&gt;
&lt;br /&gt;
Traditional drink recipes&lt;br /&gt;
&lt;br /&gt;
Cocktails&lt;br /&gt;
&lt;br /&gt;For More Information&lt;br /&gt;
&lt;br /&gt;(910) 410-1700</t>
  </si>
  <si>
    <t>bartending_photo_website.png</t>
  </si>
  <si>
    <t>Basic Law Enforcement Training </t>
  </si>
  <si>
    <t>$1,200 plus fees</t>
  </si>
  <si>
    <t>&lt;!-- Basic Law Enforcement Training --&gt;
  &lt;iframe onload="initializeScripts('program-widget-e067c0', 'https://widget.lightcastcc.com')" id="program-widget-e067c0"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9&amp;visitButtonColor=%238E1F32&amp;headingText=Our%20students%20can%20go%20into%20these%20careers%3A"&gt;&lt;/iframe&gt;&lt;script type="text/javascript" src="https://widget.lightcastcc.com/scripts.js"&gt;&lt;/script&gt;</t>
  </si>
  <si>
    <t>This 17-week program gives students essential skills required for entry-level employment as law enforcement officers with state, county, or municipal government, or with private enterprises. The program uses mandated topics and methods of instruction from the N.C. Criminal Justice Training and Standards Commission. General subjects include, but are not limited to, criminal, juvenile, civil, traffic and alcoholic beverage laws; investigative, patrol, custody, and court procedures; emergency responses; and ethics and community relations.&lt;br /&gt;
&lt;br /&gt;
Application packets are available from the receptionist in the Lee Building on the Hamlet Campus or the Honeycutt Center at the Scotland County Campus.&lt;br /&gt;
&lt;br /&gt;For More Information&lt;br /&gt;
&lt;br /&gt;(910) 410-1700</t>
  </si>
  <si>
    <t>BLET_Website.png</t>
  </si>
  <si>
    <t>25120</t>
  </si>
  <si>
    <t>Business Administration</t>
  </si>
  <si>
    <t>&lt;!-- Business Administration: General Business --&gt;
  &lt;iframe onload="initializeScripts('program-widget-2d30c7', 'https://widget.lightcastcc.com')" id="program-widget-2d30c7"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10&amp;visitButtonColor=%238E1F32&amp;headingText=Our%20students%20can%20go%20into%20these%20careers%3A"&gt;&lt;/iframe&gt;&lt;script type="text/javascript" src="https://widget.lightcastcc.com/scripts.js"&gt;&lt;/script&gt;</t>
  </si>
  <si>
    <t xml:space="preserve">Pfeiffer University </t>
  </si>
  <si>
    <t>Coker Univeristy</t>
  </si>
  <si>
    <t>The Business Administration curriculum is designed to introduce students to the various aspects of the free enterprise system. Students will be provided with a fundamental knowledge of business functions, processes, and an understanding of business organizations in today’s global economy.&lt;br /&gt;
&lt;br /&gt;
Course work includes business concepts such as accounting, business law, economics, management, and marketing. Skills related to the application of these concepts are developed through the study of computer applications, communication, team building, and decision making.&lt;br /&gt;
&lt;br /&gt;
Through these skills, students will have a sound business education base for lifelong learning. Graduates are prepared for employment opportunities in government agencies, financial institutions, and large to small business or industry.&lt;br /&gt;</t>
  </si>
  <si>
    <t>Business_Admin_Website_1.jpg</t>
  </si>
  <si>
    <t>Commercial Driver's License Class A</t>
  </si>
  <si>
    <t>&lt;!-- Truck Driver Training --&gt;
  &lt;iframe onload="initializeScripts('program-widget-334265', 'https://widget.lightcastcc.com')" id="program-widget-334265"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85&amp;visitButtonColor=%238E1F32&amp;headingText=Our%20students%20can%20go%20into%20these%20careers%3A"&gt;&lt;/iframe&gt;&lt;script type="text/javascript" src="https://widget.lightcastcc.com/scripts.js"&gt;&lt;/script&gt;</t>
  </si>
  <si>
    <t>Richmond Community College offers truck driver training through the Scotland County Campus. Start your truck driving career in 10 weeksUpon completion of the course, students will take the final road test for their commercial driver’s license at RichmondCC’s training facility in Laurinburg. Students will not have to go to the DMV.&lt;br /&gt;
&lt;br /&gt;
IMPORTANT DATES&lt;br /&gt;
&lt;br /&gt;
Next Class Dates: TBD&lt;br /&gt;
&lt;br /&gt;Admissions Requirements&lt;br /&gt;
&lt;br /&gt;
Attend the mandatory orientation session.&lt;br /&gt;
&lt;br /&gt;
Be at least 18 years old. (Graduates under 21 years old can only drive within North Carolina.)&lt;br /&gt;
&lt;br /&gt;
Hold a valid North Carolina Driver’s license with no limiting restrictions.&lt;br /&gt;
&lt;br /&gt;
Be able to read and speak English well enough to take instructions from highway signs, to converse officials and complete the required reports.&lt;br /&gt;
&lt;br /&gt;
Reading Placement test with a minimum eighth grade reading level or better OR present high school or GED transcript showing graduation from high school or completion of GED. Bring an official copy of your GED test results to registration unless you completed testing at RichmondCC, where your grade will be in our student records.&lt;br /&gt;
&lt;br /&gt;
Acquire a North Carolina Class A permit with no limiting restrictions before the highway-driving portion of your training.&lt;br /&gt;
&lt;br /&gt;
Pass a DOT physical and/or hold a valid (12-month minimum) DOT medical card. &lt;br /&gt;
&lt;br /&gt;
Complete and pass a DOT drug screen.&lt;br /&gt;
&lt;br /&gt;
Show proof of permanent residency. All immigrants must have proper paperwork.&lt;br /&gt;
&lt;br /&gt;
Due to the STRICT REQUIREMENTS of most trucking companies, you must also have:&lt;br /&gt;
&lt;br /&gt;
A current Motor Vehicle Record with no convictions in the past three years of DUI, refusal to take a chemical test, hit and run, leaving the scene of an accident, careless and reckless driving, a preventable accident or speeding 15 mph over the limit.&lt;br /&gt;
&lt;br /&gt;
No felony or major misdemeanor convictions in the past five years, based on completion of sentence.&lt;br /&gt;
&lt;br /&gt;
Class Curriculum&lt;br /&gt;
&lt;br /&gt;
This course involves extensive training divided into three parts:&lt;br /&gt;
&lt;br /&gt;
CLASSROOM&lt;br /&gt;
&lt;br /&gt;
CDL Permit &amp; Endorsement Instruction&lt;br /&gt;
&lt;br /&gt;
Driver Qualification&lt;br /&gt;
&lt;br /&gt;
Driver Wellness&lt;br /&gt;
&lt;br /&gt;
Federal Motor Carrier Safety Regulations&lt;br /&gt;
&lt;br /&gt;
Hours of Service &amp; Map Reading&lt;br /&gt;
&lt;br /&gt;
Vehicle Inspection&lt;br /&gt;
&lt;br /&gt;
Air Brake Training&lt;br /&gt;
&lt;br /&gt;
Defensive Driving&lt;br /&gt;
&lt;br /&gt;
Cargo Handling&lt;br /&gt;
&lt;br /&gt;
Whistle Blowing Protection&lt;br /&gt;
&lt;br /&gt;
RANGE DRIVING&lt;br /&gt;
&lt;br /&gt;
Pre-trip Inspection&lt;br /&gt;
&lt;br /&gt;
Basic Vehicle Control&lt;br /&gt;
&lt;br /&gt;
Proper Use of Clutch &amp; Gears&lt;br /&gt;
&lt;br /&gt;
Proper Backing Techniques&lt;br /&gt;
&lt;br /&gt;
Coupling/Uncoupling&lt;br /&gt;
&lt;br /&gt;
ROAD DRIVING&lt;br /&gt;
&lt;br /&gt;
Defensive Driving&lt;br /&gt;
&lt;br /&gt;
Vehicle Control&lt;br /&gt;
&lt;br /&gt;
Proper Use of Clutch &amp; Gears&lt;br /&gt;
&lt;br /&gt;
Roads &amp; Conditions&lt;br /&gt;
&lt;br /&gt;
Observation of Highway Laws&lt;br /&gt;
&lt;br /&gt;
Loaded Trailers&lt;br /&gt;
&lt;br /&gt;
Night Driving&lt;br /&gt;
&lt;br /&gt;For More Information&lt;br /&gt;
&lt;br /&gt;(910) 410-1700</t>
  </si>
  <si>
    <t>Commercial_Drivers_License_Website.png</t>
  </si>
  <si>
    <t>Computer Aided Drafting</t>
  </si>
  <si>
    <t xml:space="preserve">This course introduces CAD software as a drawing tool. Topics include drawing, editing, file management, and plotting. Upon completion, students should be able to produce and plot a CAD drawing. </t>
  </si>
  <si>
    <t>40160</t>
  </si>
  <si>
    <t>Computer Engineering Technician</t>
  </si>
  <si>
    <t>&lt;p&gt;&lt;b&gt;&lt;i&gt;EFFECTIVE 2024 FALL:  THIS PROGRAM IS IN TEACH-OUT STATUS.&lt;br /&gt;
NO NEW STUDENTS WILL BE ENROLLED 2024 FALL OR AFTER.&lt;br /&gt;
CURRENT STUDENTS MUST COMPLETE THE PROGRAM BY 2026 SPRING.&lt;/i&gt;&lt;/b&gt;&lt;/p&gt;
&lt;p&gt;
The Computer Engineering Technology curriculum provides the skills required to install, service and maintain computers, peripherals, networks, microprocessors and computer-controlled equipment. The program includes training in both hardware and software, emphasizing operating system concepts to provide a unified view of computer systems.&lt;/p&gt;
&lt;p&gt;
Course work includes mathematics, physics, electronics, digital circuits, and programming, with emphasis on the operation, use, and interfacing of memory and devices to the CPU. Additional topics may include communications, networks, operating systems, programming languages, Internet configuration and design, and industrial applications.&lt;/p&gt;
&lt;p&gt;
Graduates should qualify for employment in electronics technology, computer service, computer networks, server maintenance, programming, and other areas that require a knowledge of electronic and computer systems. Graduates may also qualify for various certifications in electronics, computers, or networking.&lt;/p&gt;</t>
  </si>
  <si>
    <t>Computer_Engineering1_website.jpg</t>
  </si>
  <si>
    <t>CPR Basic Life Support </t>
  </si>
  <si>
    <t>&lt;!-- CPR - Basic Life Support --&gt;
  &lt;iframe onload="initializeScripts('program-widget-28b839', 'https://widget.lightcastcc.com')" id="program-widget-28b839"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186&amp;visitButtonColor=%238E1F32&amp;headingText=Our%20students%20can%20go%20into%20these%20careers%3A"&gt;&lt;/iframe&gt;&lt;script type="text/javascript" src="https://widget.lightcastcc.com/scripts.js"&gt;&lt;/script&gt;</t>
  </si>
  <si>
    <t>Richmond Community College offers two types of CPR classes through the American Heart Association: Heartsaver CPR &amp; First Aid and Healthcare Basic Life Support.&lt;br /&gt;
&lt;br /&gt;
Heartsaver CPR &amp; First Aid&lt;br /&gt;
&lt;br /&gt;
Heartsaver First Aid CPR AED is geared towards anyone with little or no medical training who needs a course completion card for their job, regulatory (e.g., OSHA), or other requirements or anyone who wants to be prepared for an emergency in any setting. Upon successful completion of the course, students receive a course completion card, valid for two years. Please contact your employer to ensure that you are selecting the correct course.&lt;br /&gt;
&lt;br /&gt;
Upcoming Class Dates&lt;br /&gt;
&lt;br /&gt;
Sept. 22&lt;br /&gt;
&lt;br /&gt;
Oct. 20&lt;br /&gt;
&lt;br /&gt;
Nov. 17&lt;br /&gt;
&lt;br /&gt;
Dec. 15&lt;br /&gt;
&lt;br /&gt;
Healthcare Basic Life Support (BLS)&lt;br /&gt;
&lt;br /&gt;
Basic Life Support (BLS) is geared towards prehospital providers, like EMTs, paramedics, fire fighters, and in-facility hospital providers. Upon successful completion of the course, students receive a course completion card, valid for two years. Please contact your employer to ensure that you are selecting the correct course.&lt;br /&gt;
&lt;br /&gt;
Upcoming Classes​&lt;br /&gt;
&lt;br /&gt;
Sept. 8, 2025&lt;br /&gt;
&lt;br /&gt;
Oct. 6, 2025&lt;br /&gt;
&lt;br /&gt;
Nov. 3, 2025&lt;br /&gt;
&lt;br /&gt;
Dec. 1, 2025&lt;br /&gt;
For More Information&lt;br /&gt;
&lt;br /&gt;(910) 410-1700</t>
  </si>
  <si>
    <t>CPR_Website.png</t>
  </si>
  <si>
    <t>Creative Writing</t>
  </si>
  <si>
    <t>&lt;p&gt;This course is designed to provide students with the opportunity to practice the art of creative writing. Emphasis is placed on writing, fiction, poetry, and sketches. Upon completion, students should be able to craft and critique their own writing and critique the writing of others.&amp;nbsp;&lt;em&gt;&lt;strong&gt;Successful completion of ENG 111 or an equivalent is a pre-requisite for the course.&lt;/strong&gt;&lt;/em&gt;&lt;/p&gt;</t>
  </si>
  <si>
    <t>creative_writing_website.png</t>
  </si>
  <si>
    <t>55180</t>
  </si>
  <si>
    <t>Criminal Justice Technology</t>
  </si>
  <si>
    <t>&lt;!-- Criminal Justice Technology --&gt;
  &lt;iframe onload="initializeScripts('program-widget-216270', 'https://widget.lightcastcc.com')" id="program-widget-216270"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19&amp;visitButtonColor=%238E1F32&amp;headingText=Our%20students%20can%20go%20into%20these%20careers%3A"&gt;&lt;/iframe&gt;&lt;script type="text/javascript" src="https://widget.lightcastcc.com/scripts.js"&gt;&lt;/script&gt;</t>
  </si>
  <si>
    <t>Coker University</t>
  </si>
  <si>
    <t>NC Weslyan</t>
  </si>
  <si>
    <t>Columbia College</t>
  </si>
  <si>
    <t>Gardner Web</t>
  </si>
  <si>
    <t>Grand Canyon</t>
  </si>
  <si>
    <t>The Criminal Justice Technology curriculum is designed to provide knowledge of criminal justice systems and operations. Study will focus on local, state, and federal law enforcement, judicial processes, corrections and security services. The criminal justice system’s role within society will be explored.&lt;br /&gt;
&lt;br /&gt;
Emphasis is on criminal justice systems, criminology, juvenile justice, criminal and constitutional law, investigative principles, ethics and community relations. Additional study may include issues and concepts of government, counseling, communications, computers and technology.&lt;br /&gt;
&lt;br /&gt;
Employment opportunities exist in a variety of local, state, and federal law enforcement, corrections, and security fields. Examples include police officer, deputy sheriff, county detention officer, state trooper, intensive probation/parole surveillance officer, correctional officer, and loss prevention specialist.&lt;br /&gt;
&lt;br /&gt;
&lt;b&gt;What will I learn in this program?&lt;/b&gt; You will learn about the criminal justice system, how it operates and its role in society. Study will focus on local, state and federal law enforcement; judicial processes, corrections; security services; criminology; juvenile justice; criminal and constitutional law; investigative principles; ethics; and community relations. Additional study may include issues and concepts of government, counseling, communications, computers, and technology.&lt;br /&gt;
&lt;br /&gt;
&lt;b&gt;Will I be suited for this type of work?&lt;/b&gt; If you are an investigative type of person with good analytical and critical thinking skills, you are well suited for a career in criminal justice. You also need to be fair-minded, have a desire to help others and have good communication skills.&lt;br /&gt;
&lt;br /&gt;
&lt;b&gt;How long does it take to complete the program?&lt;/b&gt; There are three levels of credentialing in the Criminal Justice Technology program. The associate degree is a two-year program; the diploma is a one-year program; and there are two certificate pathways, Corrections, and Law Enforcement, that consist of five to six courses.&lt;br /&gt;
&lt;br /&gt;
&lt;b&gt;What if I already have completed Basic Law Enforcement Training (BLET) or the North Carolina Department of Public Safety Basic Correctional Training?&lt;/b&gt; RichmondCC will award you college credit for the training you successfully completed.&lt;br /&gt;
&lt;br /&gt;
If you have successfully completed the Basic Law Enforcement Training (BLET), your training earns you college credit for 4 classes in the Criminal Justice program. This is equivalent to one semester!&lt;br /&gt;
&lt;br /&gt;
If you have successfully completed the North Carolina Department of Public Safety Basic Correctional Training, your training earns you college credit for 3 classes in the Criminal Justice program. This is 9 credit hours.&lt;br /&gt;
&lt;br /&gt;
&lt;b&gt;Can I complete courses for this program online?&lt;/b&gt; Yes, this program is offered 100% ONLINE!&lt;br /&gt;
&lt;br /&gt;
&lt;b&gt;Does this program provide hands-on projects and lessons?&lt;/b&gt; Yes, class projects include many hands-on activities such as fingerprinting, blood spatter analysis, crime scene investigations and correctional facility design.&lt;br /&gt;
&lt;br /&gt;
&lt;b&gt;Can I advance to a higher degree?&lt;/b&gt; Yes, the courses you take for the associate degree are designed to transfer into bachelor degree programs in criminal justice offered at the four-year college and university level. Explore the articulation agreements that RichmondCC has with multiple higher education institutions.&lt;br /&gt;
&lt;br /&gt;
&lt;b&gt;What is the North Carolina Criminal Justice Fellows Program?&lt;/b&gt; The Criminal Justice Fellows Program can aid you in achieving your goal of becoming a criminal justice professional. It is an opportunity for a 100% forgivable loan to go to any North Carolina Community College to acquire an Associate in Applied Sciences degree for criminal justice. The loan will be forgiven upon 4 years of working in an eligible profession and county.&lt;br /&gt;</t>
  </si>
  <si>
    <t>Criminal Justice Technology.png</t>
  </si>
  <si>
    <t>Crisis Intervention Team Training</t>
  </si>
  <si>
    <t>$125 plus fees. If you meet certain criteria this class could be free.</t>
  </si>
  <si>
    <t>&lt;!-- Crisis Intervention Team Training (CIT) --&gt;
  &lt;iframe onload="initializeScripts('program-widget-7c9e8f', 'https://widget.lightcastcc.com')" id="program-widget-7c9e8f"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112&amp;visitButtonColor=%238E1F32&amp;headingText=Our%20students%20can%20go%20into%20these%20careers%3A"&gt;&lt;/iframe&gt;&lt;script type="text/javascript" src="https://widget.lightcastcc.com/scripts.js"&gt;&lt;/script&gt;</t>
  </si>
  <si>
    <t>Crisis Intervention Team training is a joint effort between Sandhills Center, law enforcement, local National Alliance on Mental Illness (NAMI) chapters, service providers, and the community college system, which offers CIT training in addition to the basic law enforcement curriculum.Crisis Intervention Team Training CIT is a rigorous 40-hour curriculum that involves classroom training, site visits and role playing, among other valuable learning techniques.
CIT trains first responders to understand people who are experiencing mental health, intellectual/developmental disabilities and substance use challenges. They learn skills to de-escalate situations, and how to recognize people in crisis so they can get the help they need. It also teaches tools to encourage people who need treatment to access services.</t>
  </si>
  <si>
    <t>cit_training_website.png</t>
  </si>
  <si>
    <t>25590A</t>
  </si>
  <si>
    <t>Cyber Security</t>
  </si>
  <si>
    <t>&lt;!-- Cyber Security --&gt;
  &lt;iframe onload="initializeScripts('program-widget-43bcdd', 'https://widget.lightcastcc.com')" id="program-widget-43bcdd"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47&amp;visitButtonColor=%238E1F32&amp;headingText=Our%20students%20can%20go%20into%20these%20careers%3A"&gt;&lt;/iframe&gt;&lt;script type="text/javascript" src="https://widget.lightcastcc.com/scripts.js"&gt;&lt;/script&gt;</t>
  </si>
  <si>
    <t>&lt;p&gt;The Cyber Security degree covers a broad expanse of technology concepts. This curriculum provides students with the skills required to implement effective and comprehensive information security controls.&lt;/p&gt;</t>
  </si>
  <si>
    <t>cyber_security_website.png</t>
  </si>
  <si>
    <t>Detention Officer Certification</t>
  </si>
  <si>
    <t xml:space="preserve">$180 (Fee waived for Qualified students) most will qualify because sent by agency </t>
  </si>
  <si>
    <t>&lt;!-- Detention Officer Certification --&gt;
  &lt;iframe onload="initializeScripts('program-widget-65daff', 'https://widget.lightcastcc.com')" id="program-widget-65daff"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93&amp;visitButtonColor=%238E1F32&amp;headingText=Our%20students%20can%20go%20into%20these%20careers%3A"&gt;&lt;/iframe&gt;&lt;script type="text/javascript" src="https://widget.lightcastcc.com/scripts.js"&gt;&lt;/script&gt;</t>
  </si>
  <si>
    <t>&lt;p&gt;The Detention Officer Certification class is a mandated 174-hour course that takes approximately 5 weeks to complete and concludes with a comprehensive written exam. Upon successful completion of the course, the new detention officer will be eligible to be certified as a detention officer in North Carolina. Developed by the North Carolina Justice Academy, the course includes the most current information available for detention officers.&lt;/p&gt;&lt;br /&gt;
&lt;br /&gt;Next Class: TBD&lt;br /&gt;
&lt;br /&gt;For More Information&lt;br /&gt;
&lt;br /&gt;(910) 410-1700</t>
  </si>
  <si>
    <t>Detention_Officer_Training_website.png</t>
  </si>
  <si>
    <t>Digital Photography </t>
  </si>
  <si>
    <t>$ 70 (Camera not included)</t>
  </si>
  <si>
    <t>Capture the perfect image with your digital camera by taking this photography course. Digital PhotographyYou will learn about the different modes on your camera and when you should use them.
Next Class Dates: TBD
Course Topics Include:
Lighting
Camera Functions
Positioning
Post Processing
Contrast
Black and White Photos
Course Fees
Cost: $70, you must bring your own camera to class</t>
  </si>
  <si>
    <t>Digital_Photography_Website.png</t>
  </si>
  <si>
    <t>Diversity in the Workplace </t>
  </si>
  <si>
    <t>Diversity_Workplace_jpg.</t>
  </si>
  <si>
    <t>55850</t>
  </si>
  <si>
    <t>Early Childhood Administration</t>
  </si>
  <si>
    <t>&lt;!-- Early Childhood Administration --&gt;
  &lt;iframe onload="initializeScripts('program-widget-6435e7', 'https://widget.lightcastcc.com')" id="program-widget-6435e7"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94&amp;visitButtonColor=%238E1F32&amp;headingText=Our%20students%20can%20go%20into%20these%20careers%3A"&gt;&lt;/iframe&gt;&lt;script type="text/javascript" src="https://widget.lightcastcc.com/scripts.js"&gt;&lt;/script&gt;</t>
  </si>
  <si>
    <t>none</t>
  </si>
  <si>
    <t>This curriculum prepares individuals pursuing administrating roles in diverse child care settings to effectively work with children, families and teachers. The certificate is composed of learning opportunities in developmental theories, competency and evidence-based professional knowledge, administrative skills and leadership qualities.&lt;br /&gt;
&lt;br /&gt;
Course work includes foundations in early childhood education, physical/nutritional needs of young children, safety issues in the care of young children; communication and leadership skills with teachers, families and children; programming and staffing, budgeting/financial management and marketing, and rules and regulations of early childhood programs.&lt;br /&gt;
&lt;br /&gt;
Employment opportunities include entrepreneurship and/or management of child development and child care programs, preschools, public and private schools, recreational centers, Early Head Start and Head Start programs, and other programs.&lt;br /&gt;</t>
  </si>
  <si>
    <t>ECE_website_2.jpg</t>
  </si>
  <si>
    <t>55220</t>
  </si>
  <si>
    <t>Early Childhood Education</t>
  </si>
  <si>
    <t>&lt;!-- Early Childhood Education --&gt;
  &lt;iframe onload="initializeScripts('program-widget-b491a5', 'https://widget.lightcastcc.com')" id="program-widget-b491a5"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22&amp;visitButtonColor=%238E1F32&amp;headingText=Our%20students%20can%20go%20into%20these%20careers%3A"&gt;&lt;/iframe&gt;&lt;script type="text/javascript" src="https://widget.lightcastcc.com/scripts.js"&gt;&lt;/script&gt;</t>
  </si>
  <si>
    <t>The Early Childhood Education curriculum prepares individuals to work with children from birth through eight in diverse learning environments. Students will combine learned theories with practice in actual settings with young children under the supervision of qualified teachers.&lt;br /&gt;
&lt;br /&gt;
Course work includes child growth and development; physical/nutritional needs of children; care and guidance of children; and communication skills with families and children. Students will foster the cognitive/language, physical/motor, social/emotional, and creative development of young children.&lt;br /&gt;
&lt;br /&gt;
Graduates are prepared to plan and implement developmentally appropriate programs in early childhood settings. Employment opportunities include child development and child care programs, preschools, public and private schools, recreational centers, Head Start Programs, and school-age programs.&lt;br /&gt;
&lt;br /&gt;
&lt;b&gt;Employment opportunities include:&lt;/b&gt;&lt;br /&gt;
&lt;br /&gt;
Lead teacher in a child care center&lt;br /&gt;
Assistant teacher in a preschool, private, public school or Head Start&lt;br /&gt;
Owner/Administrator in a child care center or family child care home&lt;br /&gt;
Program Coordinator in an afterschool program or recreational center&lt;br /&gt;
&lt;br /&gt;
&lt;b&gt;Will I be suited for this type of work?&lt;/b&gt; You need to have good communication skills in order to convey information effectively to both parents and students. You need to be creative to engage children in learning. You also need to be organized and patient and be an energetic person who can handle the physical demands of working with small children.&lt;br /&gt;
&lt;br /&gt;
&lt;b&gt;Can I complete this program online?&lt;/b&gt;Yes, 100% of the class work for the Early Childhood Education associate degree program can be completed ONLINE!&lt;br /&gt;</t>
  </si>
  <si>
    <t>ECE_website_1.jpg</t>
  </si>
  <si>
    <t>55860</t>
  </si>
  <si>
    <t>Early Childhood Preschool</t>
  </si>
  <si>
    <t>&lt;!-- Early Childhood Preschool --&gt;
  &lt;iframe onload="initializeScripts('program-widget-831a99', 'https://widget.lightcastcc.com')" id="program-widget-831a99"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95&amp;visitButtonColor=%238E1F32&amp;headingText=Our%20students%20can%20go%20into%20these%20careers%3A"&gt;&lt;/iframe&gt;&lt;script type="text/javascript" src="https://widget.lightcastcc.com/scripts.js"&gt;&lt;/script&gt;</t>
  </si>
  <si>
    <t>This curriculum prepares individuals to work with preschool aged children (3-5) in diverse learning environments. Students will combine learned theories, competency-based knowledge, and practice in actual settings with preschool children.&lt;br /&gt;
&lt;br /&gt;
Course work includes child growth and development, physical/nutritional needs of preschool children, safety issues in the care of preschool children; care and guidance; communication skills with families and children; design and implementation of appropriate curriculum; and other related topics.&lt;br /&gt;
&lt;br /&gt;
Graduates should be prepared to plan and implement developmentally appropriate preschool programs in early childhood settings. Employment opportunities include child development and child care programs, preschools, public and private schools, recreational centers, Head Start Programs, and other preschool programs.&lt;br /&gt;</t>
  </si>
  <si>
    <t>ECE_website_4.jpg</t>
  </si>
  <si>
    <t>Effective Substitute Teacher Training</t>
  </si>
  <si>
    <t>&lt;!-- Effective Substitute Teacher Training --&gt;
  &lt;iframe onload="initializeScripts('program-widget-23ae79', 'https://widget.lightcastcc.com')" id="program-widget-23ae79"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172&amp;visitButtonColor=%238E1F32&amp;headingText=Our%20students%20can%20go%20into%20these%20careers%3A"&gt;&lt;/iframe&gt;&lt;script type="text/javascript" src="https://widget.lightcastcc.com/scripts.js"&gt;&lt;/script&gt;</t>
  </si>
  <si>
    <t>This online course is designed for substitute teachers, teacher assistants, and prospective new teachers. It's also a great way to earn teacher renewal credits.&lt;br /&gt;
&lt;br /&gt;
Upcoming Classes&lt;br /&gt;
&lt;br /&gt;
Sept. 8 - Oct. 5  | Online | Cost $70&lt;br /&gt;
&lt;br /&gt;
Nov. 3 - 30 | Online | Cost $70&lt;br /&gt;
&lt;br /&gt;
Course Topics&lt;br /&gt;
&lt;br /&gt;
Learning expectations&lt;br /&gt;
&lt;br /&gt;
Time management&lt;br /&gt;
&lt;br /&gt;
Instructional methods&lt;br /&gt;
&lt;br /&gt;
Preparation&lt;br /&gt;
&lt;br /&gt;
Monitoring student interaction&lt;br /&gt;
&lt;br /&gt;
Social interaction&lt;br /&gt;
&lt;br /&gt;
Non-instructional duties and evaluation&lt;br /&gt;
&lt;br /&gt;
Requirements&lt;br /&gt;
&lt;br /&gt;
There is no requirement that students have a high school diploma or equivalent in order to enroll in this course; however, course completers will be required to have a high school diploma or equivalent and be at least 18 years or older to be employed as a subsitute teacher. &lt;br /&gt;
&lt;br /&gt;For More Information&lt;br /&gt;
&lt;br /&gt;(910) 410-1700</t>
  </si>
  <si>
    <t>Effective_Teacher_Training_Website.png</t>
  </si>
  <si>
    <t>Electric Lineman</t>
  </si>
  <si>
    <t>&lt;!-- Electric Lineworker --&gt;
  &lt;iframe onload="initializeScripts('program-widget-7ee997', 'https://widget.lightcastcc.com')" id="program-widget-7ee997"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137&amp;visitButtonColor=%238E1F32&amp;headingText=Our%20students%20can%20go%20into%20these%20careers%3A"&gt;&lt;/iframe&gt;&lt;script type="text/javascript" src="https://widget.lightcastcc.com/scripts.js"&gt;&lt;/script&gt;</t>
  </si>
  <si>
    <t>The Electric Lineworker program prepares individuals to work as linemen in the preparation and repair of electrical utility services. Course topics include basic elements of electricity, overhead pole and electrical line constructions, safety codes and applications, electric system, transformer and meter installations, underground electrical distribution, introduction to transmission line work and introduction to substation construction.&lt;br /&gt;
&lt;br /&gt;
Upcoming Class Details &amp; Cost&lt;br /&gt;
&lt;br /&gt;
2026: Jan. 12 - April 16 | Monday through Thursday from 8 a.m. to 5 p.m. on the Hamlet Campus | Tuition for this class is $180; fees for this class are $1,070. Cost includes boots, hand tools and tool bag.&lt;br /&gt;
&lt;br /&gt;
(If you are a self-pay student, contact us about scholarships.)&lt;br /&gt;
&lt;br /&gt;
Course Requirements:&lt;br /&gt;
&lt;br /&gt;
Must be 18 years or older&lt;br /&gt;
&lt;br /&gt;
Copy of high school diploma or high school equivalency&lt;br /&gt;
&lt;br /&gt;
Copy of current DOT physical and drug screen&lt;br /&gt;
&lt;br /&gt;
Copy of unrestricted driver’s license&lt;br /&gt;
&lt;br /&gt;
Copy of driving record (does not need to be official driving record, visit NCDOT.gov to order a copy online.)&lt;br /&gt;
&lt;br /&gt;
Accuplacer Next Generation Reading Test score of 237 or higher or transcript for 2-year degree or higher&lt;br /&gt;
&lt;br /&gt;
Certifications You Will Earn:&lt;br /&gt;
&lt;br /&gt;
Any student who successfully completes this course will obtain the following:&lt;br /&gt;
&lt;br /&gt;
CPR Certification&lt;br /&gt;
&lt;br /&gt;
CDL Learner's Permit&lt;br /&gt;
&lt;br /&gt;
811 Certification​&lt;br /&gt;
&lt;br /&gt;
Pole Top &amp; Bucket Truck Rescue&lt;br /&gt;
&lt;br /&gt;For More Information&lt;br /&gt;
&lt;br /&gt;(910) 410-1700</t>
  </si>
  <si>
    <t>Lineman_Website.png</t>
  </si>
  <si>
    <t>50510</t>
  </si>
  <si>
    <t>Electric Utility Substation &amp; Relay Technology</t>
  </si>
  <si>
    <t>&lt;!-- Electric Utility Substation and Relay Technology --&gt;
  &lt;iframe onload="initializeScripts('program-widget-f01159', 'https://widget.lightcastcc.com')" id="program-widget-f01159"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26&amp;visitButtonColor=%238E1F32&amp;headingText=Our%20students%20can%20go%20into%20these%20careers%3A"&gt;&lt;/iframe&gt;&lt;script type="text/javascript" src="https://widget.lightcastcc.com/scripts.js"&gt;&lt;/script&gt;</t>
  </si>
  <si>
    <t>Lees Mcrae</t>
  </si>
  <si>
    <t>The Electric Utility Substation and Relay Technology curriculum provide students the skills to maintain high voltage equipment and protective systems for the electric utility transmission system.  Training in operation and maintenance of critical infrastructure associated with the electric transmission grid is included.&lt;br /&gt;
&lt;br /&gt;
Courses are designed to develop student understanding of maintenance and troubleshooting on transmission equipment, including three phase power theory, protective relaying, power transformers, voltage regulators, capacitors, and power circuit breakers common to electric utility and numerous other industries. &lt;br /&gt;
&lt;br /&gt;
Graduates should qualify for entry-level employment in electric utility, renewable energy, and industrial facilities as technicians who diagnose and service equipment and components used for electrical power transmission.&lt;br /&gt;</t>
  </si>
  <si>
    <t>EUSRT_1_website.jpg</t>
  </si>
  <si>
    <t>Electrical CEUs</t>
  </si>
  <si>
    <t>&lt;!-- Electrical CEU's --&gt;
  &lt;iframe onload="initializeScripts('program-widget-a85bf3', 'https://widget.lightcastcc.com')" id="program-widget-a85bf3"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173&amp;visitButtonColor=%238E1F32&amp;headingText=Our%20students%20can%20go%20into%20these%20careers%3A"&gt;&lt;/iframe&gt;&lt;script type="text/javascript" src="https://widget.lightcastcc.com/scripts.js"&gt;&lt;/script&gt;</t>
  </si>
  <si>
    <t>These one-day electrical classes will count toward continuing education requirements mandated by General Statue 87-44.1 for electrical contractors and others who work with electrical components to ensure the safe and proper installation of electrical work and equipment in order to protect the life, health, and property of the public.&lt;br /&gt;
&lt;br /&gt;Arc Flash Safety&lt;br /&gt;
&lt;br /&gt;
This course is designed to train electricians, maintenance mechanics and machine operators about arc flash safety. Students will be able to properly identify arc flash safety hazards and choose the correct personal equipment to use while working in or around 50V of electricity.&lt;br /&gt;
&lt;br /&gt;
This course is approved for 4 hours of CEUs through the NC State Board of Electrical Contractors.&lt;br /&gt;
&lt;br /&gt;
Class Details &amp; Cost&lt;br /&gt;
&lt;br /&gt;
Aug. 29 | 8 a.m. to 12 p.m. | Forte Building, room 325, Hamlet Campus | Tuition for this class is $70&lt;br /&gt;
&lt;br /&gt;NEC Analysis of Changes&lt;br /&gt;
&lt;br /&gt;
This course provides updates to changes in the National Electric Code (NEC). North Carolina amendments and revisions to the rules and laws regulating the current NEC will also be taught. This course is approved for 4 hours CEU credits for licensed electricians.&lt;br /&gt;
&lt;br /&gt;
Class Details &amp; Cost&lt;br /&gt;
&lt;br /&gt;
Oct. 31 | 8 a.m. to 12 p.m.  | Forte Building, room 325, Hamlet Campus | Tuition for this class is $70.&lt;br /&gt;
&lt;br /&gt;For More Information&lt;br /&gt;
&lt;br /&gt;Call (910) 410-1700.</t>
  </si>
  <si>
    <t>Electrician.jpg</t>
  </si>
  <si>
    <t>Electronics Engineering  </t>
  </si>
  <si>
    <t>&lt;b&gt;EFFECTIVE 2022 FALL:  
THIS PROGRAM IS IN TEACH-OUT STATUS. NO NEW STUDENTS WILL BE ENROLLED. CURRENT STUDENTS MUST COMPLETE THE PROGRAM BY 2024 SPRING. THE LAST SEMESTER THESE CLASSES WILL BE OFFERED WILL BE 2024 SPRING.&lt;/b&gt;
&lt;b&gt;ENGINEERING AND TECHNOLOGY PATHWAYS&lt;/b&gt;
These curriculums are designed to prepare students through the study and application of principles from mathematics, natural sciences, and technology and applied processes based on these subject areas.
Course work includes mathematics, natural sciences, and engineering sciences and technology.
Graduates should qualify to obtain occupations such as technical service providers, materials and technologies testing services, process improvement technicians, engineering technicians, construction technicians and mangers, industrial and technology managers, or research technicians.
&lt;b&gt;PROGRAM DESCRIPTION&lt;/b&gt;
A course of study that prepares the students to apply basic engineering principles and technical skills to become technicians who design, build, install, test, troubleshoot, repair, and modify developmental and production electronic components, equipment, and systems such as industrial/computer controls, manufacturing systems, communication systems, and power electronic systems. Includes instruction in mathematics, basic electricity, solid-state fundamentals, digital concepts, and microprocessors or programmable logic controllers. Graduates should qualify for employment as electronics engineering technician, field service technician, instrumentation technician, maintenance technician, electronic tester, electronic systems integrator, bench technician, and production control technician.</t>
  </si>
  <si>
    <t>Electronics_Engineering.jpg</t>
  </si>
  <si>
    <t>Elementary Education Residency Licensure</t>
  </si>
  <si>
    <t>&lt;!-- Elementary Education Residency Licensure --&gt;
  &lt;iframe onload="initializeScripts('program-widget-c57fc4', 'https://widget.lightcastcc.com')" id="program-widget-c57fc4"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144&amp;visitButtonColor=%238E1F32&amp;headingText=Our%20students%20can%20go%20into%20these%20careers%3A"&gt;&lt;/iframe&gt;&lt;script type="text/javascript" src="https://widget.lightcastcc.com/scripts.js"&gt;&lt;/script&gt;</t>
  </si>
  <si>
    <t>The Elementary Education Residency Certificate curriculum provides a course of study leading to the development of the general pedagogical competencies needed to become certified to teach by the North Carolina Department of Public Instruction.&lt;br /&gt;
&lt;br /&gt;
Course work includes learning theory, instructional/educational technology, diverse learners, school policies and procedures, expectations and responsibilities of educators, teaching strategies/methods for specific content/specialty areas, formative/summative assessment, data informed practice, and classroom organization/management to enhance learning.&lt;br /&gt;
&lt;br /&gt;
Graduates should meet general pedagogical competencies and demonstrate effective teaching practices. Additional requirements, such as pre-service training, passing the state required assessments, and the criteria included in the North Carolina Teacher Evaluation System, are required for licensure.&lt;br /&gt;</t>
  </si>
  <si>
    <t>Teacher_Licensure.jpg</t>
  </si>
  <si>
    <t>Elementary Spanish</t>
  </si>
  <si>
    <t>&lt;!-- Spanish --&gt;
  &lt;iframe onload="initializeScripts('program-widget-f6a208', 'https://widget.lightcastcc.com')" id="program-widget-f6a208"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198&amp;visitButtonColor=%238E1F32&amp;headingText=Our%20students%20can%20go%20into%20these%20careers%3A"&gt;&lt;/iframe&gt;&lt;script type="text/javascript" src="https://widget.lightcastcc.com/scripts.js"&gt;&lt;/script&gt;</t>
  </si>
  <si>
    <t>&lt;p&gt;There are two levels of elementary Spanish classes offered online that provide&amp;nbsp;the fundamental elements of the Spanish language within a cultural context.&amp;nbsp;Learning basic skills in listening, speaking, reading, and writing are emphasized in these classes.&amp;nbsp;With each level taken, students should be able to understand and respond to Spanish words and phrases with grammatical accuracy, as well as demonstrate an understanding of multicultural issues.&lt;/p&gt;</t>
  </si>
  <si>
    <t>elementary_spanish_website.png</t>
  </si>
  <si>
    <t>Emergency Management </t>
  </si>
  <si>
    <t>Varies depending on class, mainly offered to Fee waived students </t>
  </si>
  <si>
    <t>&lt;!-- EMS Educational Methodology --&gt;
  &lt;iframe onload="initializeScripts('program-widget-047180', 'https://widget.lightcastcc.com')" id="program-widget-047180"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183&amp;visitButtonColor=%238E1F32&amp;headingText=Our%20students%20can%20go%20into%20these%20careers%3A"&gt;&lt;/iframe&gt;&lt;script type="text/javascript" src="https://widget.lightcastcc.com/scripts.js"&gt;&lt;/script&gt;</t>
  </si>
  <si>
    <t>EMT_Crew.jpg</t>
  </si>
  <si>
    <t>Emergency Medical Responder </t>
  </si>
  <si>
    <t>&lt;!-- Emergency Medical Responder Training --&gt;
  &lt;iframe onload="initializeScripts('program-widget-b59d73', 'https://widget.lightcastcc.com')" id="program-widget-b59d73"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182&amp;visitButtonColor=%238E1F32&amp;headingText=Our%20students%20can%20go%20into%20these%20careers%3A"&gt;&lt;/iframe&gt;&lt;script type="text/javascript" src="https://widget.lightcastcc.com/scripts.js"&gt;&lt;/script&gt;</t>
  </si>
  <si>
    <t>Prepare for a career as an emergency medical responder (EMR). This course will prepare you for certification as an EMR. You will learn life support, basic patient care and emergency response methods.
Next Class: TBA
Pre-Requisites:
In order to enroll in this class you: 
Must be at least 17 years of age before the end of course.
Must have a high school diploma, GED, or an Accuplacer Reading test score of at least 66 or higher.
Must provide a copy of a valid driver’s license/ID and Social Security Card.
Course Fees:
Registration Fee - $180 (waived only for NC rescue volunteers)
Insurance - $13
Book - $167.95 (book price subject to change)
*If you are a rescue volunteer, please bring a letter from that agency stating that you are a volunteer in order to waive the registration fee of $180. Insurance fee of $13 must be paid by the student.</t>
  </si>
  <si>
    <t>emergency_medical_responder_website.png</t>
  </si>
  <si>
    <t>45340</t>
  </si>
  <si>
    <t>Emergency Medical Science </t>
  </si>
  <si>
    <t>&lt;!-- Emergency Medical Science --&gt;
  &lt;iframe onload="initializeScripts('program-widget-328a02', 'https://widget.lightcastcc.com')" id="program-widget-328a02"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138&amp;visitButtonColor=%238E1F32&amp;headingText=Our%20students%20can%20go%20into%20these%20careers%3A"&gt;&lt;/iframe&gt;&lt;script type="text/javascript" src="https://widget.lightcastcc.com/scripts.js"&gt;&lt;/script&gt;</t>
  </si>
  <si>
    <t>The Emergency Medical Science curriculum provides individuals with the knowledge, skills and attributes to provide advanced emergency medical care as a paramedic for critical and emergent patients who access the emergency medical system and prepares graduates to enter the workforce.&lt;br /&gt;
&lt;br /&gt;
Students will gain complex knowledge, competency, and experience while employing evidence-based practice under medical oversight and serve as a link from the scene into the healthcare system.&lt;br /&gt;
&lt;br /&gt;
Graduates of this program may be eligible to take state and/or national certification examinations. Employment opportunities include providers of emergency medical services, fire departments, rescue agencies, hospital specialty areas, industry, educational and government agencies.&lt;br /&gt;</t>
  </si>
  <si>
    <t>EMS_website_2.jpg</t>
  </si>
  <si>
    <t>Emergency Medical Technician </t>
  </si>
  <si>
    <t>&lt;!-- Emergency Medical Technician --&gt;
  &lt;iframe onload="initializeScripts('program-widget-c27239', 'https://widget.lightcastcc.com')" id="program-widget-c27239"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31&amp;visitButtonColor=%238E1F32&amp;headingText=Our%20students%20can%20go%20into%20these%20careers%3A"&gt;&lt;/iframe&gt;&lt;script type="text/javascript" src="https://widget.lightcastcc.com/scripts.js"&gt;&lt;/script&gt;</t>
  </si>
  <si>
    <t>The EMT Basic Training course will prepare you for a career as an emergency medical technician (EMT). You will learn life support, basic patient care, and emergency response methods. Upon successful completion of the class, you will earn your EMT certification.&lt;br /&gt;
&lt;br /&gt;Requirements for Enrollment
In order to enroll in this class you: &lt;br /&gt;
&lt;br /&gt;
Must have an official high school diploma or equivalent transcript (must be at least 17 on or before the official end date of class), or official college transcript or Accuplacer Next Generation Reading test and score at least a 237 or higher.&lt;br /&gt;
&lt;br /&gt;
Must a valid driver’s license or state-issued photo ID. &lt;br /&gt;
&lt;br /&gt;
Must provide copy of most recent immunization records (Hep Bx3; MMR x2; Varicell x2; TDAP (within the last 10 years); tuberculosis (TB) skin test or TB gold test within the last 12 months; COVID and flu will depend on clinical location). &lt;br /&gt;
&lt;br /&gt;For More Information&lt;br /&gt;
&lt;br /&gt;(910) 410-1700</t>
  </si>
  <si>
    <t>Emergency_Medical_Technician_Website.png</t>
  </si>
  <si>
    <t>English as a Second Language</t>
  </si>
  <si>
    <t>&lt;!-- English as a Second Language --&gt;
  &lt;iframe onload="initializeScripts('program-widget-df47ad', 'https://widget.lightcastcc.com')" id="program-widget-df47ad"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136&amp;visitButtonColor=%238E1F32&amp;headingText=Our%20students%20can%20go%20into%20these%20careers%3A"&gt;&lt;/iframe&gt;&lt;script type="text/javascript" src="https://widget.lightcastcc.com/scripts.js"&gt;&lt;/script&gt;</t>
  </si>
  <si>
    <t>English as a Second Language (ESL) classes are offered at the James Building, 106 Vance St., Hamlet, for non-English speaking adults. The classes are open to students who are 18 years or older. The goal of the ESL program is to provide premiere English language acquisition classes for non-English speakers to improve their reading, writing, speaking, listening and employability skills and to offer preparations for the naturalization exam to become American citizens&lt;br /&gt;
&lt;br /&gt;Our ESL classes focus on giving students a variety of resources to improve their English language skills. The curriculum includes:
    ▪    Everyday Communication Skills
    ▪    People, Family &amp; Parenting
    ▪    Consumer Economics
    ▪    Health
    ▪    Community
    ▪    Employment&lt;br /&gt;
&lt;br /&gt;For More Information&lt;br /&gt;
&lt;br /&gt;(910) 410-1700</t>
  </si>
  <si>
    <t>ESL_Website.png</t>
  </si>
  <si>
    <t>Fire Safety </t>
  </si>
  <si>
    <t>&lt;!-- Fire Safety Training --&gt;
  &lt;iframe onload="initializeScripts('program-widget-cdea01', 'https://widget.lightcastcc.com')" id="program-widget-cdea01"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187&amp;visitButtonColor=%238E1F32&amp;headingText=Our%20students%20can%20go%20into%20these%20careers%3A"&gt;&lt;/iframe&gt;&lt;script type="text/javascript" src="https://widget.lightcastcc.com/scripts.js"&gt;&lt;/script&gt;</t>
  </si>
  <si>
    <t>Richmond Community College is certified by the N.C. Fire and Rescue Commission to teach courses to advance the training of personnel with local fire departments. &lt;br /&gt;
&lt;br /&gt;Fire Academy&lt;br /&gt;
&lt;br /&gt;
Class Dates: Fall 2025&lt;br /&gt;
&lt;br /&gt;
Class Location: City of Laurinburg Fire Department, 17501 Aberdeen Road, Laurinburg, NC&lt;br /&gt;
&lt;br /&gt;
Fee waived for qualified students.&lt;br /&gt;
&lt;br /&gt;Executive Management for Fire Service Program&lt;br /&gt;
&lt;br /&gt;
The online Fire Service Executive Management program is a unique experience. Fire Service leaders must be versed and trained to deal with specific administrative areas. Fire members are promoted to these positions and may be overwhelmed by the new responsibilities. The online format allows officers or upcoming fire officers to receive training while not having to miss significant days away from their current jobs. All online classes begin on Monday at 8 a.m. All online classes end on Sunday at 10 p.m. If you complete any work before the starting Monday at 8 a.m. or after the ending Sunday at 10 p.m., you will not receive credit for the work. In addition, you must complete ALL requirements and tests. If you do not complete ALL assignments adequately, you will not receive credit for the class. You may register the week before the class begins. All courses will be taught through Moodle. &lt;br /&gt;
&lt;br /&gt;
Upcoming Class: &lt;br /&gt;
&lt;br /&gt;
Level I &lt;br /&gt;
&lt;br /&gt;
The White Shirt Transition - TBA&lt;br /&gt;
&lt;br /&gt;
Introduction to Management in the Fire Service - TBA&lt;br /&gt;
&lt;br /&gt;
Fire Officer's Responsibility - TBA&lt;br /&gt;
&lt;br /&gt;
Leadership Skills and Public Speaking - Sept. 8 - Oct. 12, 2025&lt;br /&gt;
&lt;br /&gt;
Fire Service Leadership - Oct. 20 - Nov. 23, 2025
Level II  &lt;br /&gt;
&lt;br /&gt;
Physical and Financial Resources: Jan. 12 - Feb. 15, 2026&lt;br /&gt;
&lt;br /&gt;
Legal Issues in the Fire Service - Feb. 23 - March 29, 2026&lt;br /&gt;
&lt;br /&gt;
Fire Service Community Involvement - April 13 - May 17, 2026&lt;br /&gt;
&lt;br /&gt;
Handling Problems, Conflicts, and Mistakes in the Fire Service - TBA&lt;br /&gt;
&lt;br /&gt;
Fire Service Personnel Problems - TBA&lt;br /&gt;
&lt;br /&gt;
Cost: $125 per class&lt;br /&gt;
&lt;br /&gt;
Fee waived for qualified students.&lt;br /&gt;
&lt;br /&gt;
Fire Behavior&lt;br /&gt;
&lt;br /&gt;
Safe and effective fire control requires a basic understanding of the chemical and physical nature of fire. Fire behavior is in essence the foundation of a firefighter’s knowledge of fire science. This knowledge forms the basis for practically all types of operations at the fire scene, from initial attack to determining the origin and cause of the fire.&lt;br /&gt;
&lt;br /&gt;Upcoming Class: TBD&lt;br /&gt;
&lt;br /&gt;
Fee waived for qualified students.&lt;br /&gt;
&lt;br /&gt;
Ventilation&lt;br /&gt;
&lt;br /&gt;
Less than one half of the nation’s fire loss is due to direct fire. Only 20 percent of our fire fatalities are actually due to burns. Suffocation or smoke inhalation accounts for the remainder. Many fire officials believe that a considerable portion of large-life-loss and large-dollar-loss fires is a direct result of either inadequate or ineffective ventilation procedures. Having said all of the above, what can we do as firefighters to alleviate some or most of these problems? An appropriate place to start would be with sound ventilation practices on all structural fire incidents.&lt;br /&gt;
&lt;br /&gt;
Upcoming Class: TBD&lt;br /&gt;
&lt;br /&gt;
Fee waived for qualified students.&lt;br /&gt;
&lt;br /&gt;
Water Supplies&lt;br /&gt;
&lt;br /&gt;
Water is the most common resource for putting out fires. First, however, water must be brought to the fire. In order to accomplish this, teamwork and knowledge of the necessary equipment used to direct the water are crucial. Only by careful and complete training will the firefighter candidate acquire the necessary skills required to perform these operations. On most of the fire ground operations the firefighter will face, an adequate water supply can mean the difference between life and the successful completion of the operation and death and eventual failure.&lt;br /&gt;
&lt;br /&gt;Upcoming Class: TBD&lt;br /&gt;
&lt;br /&gt;
Fee waived for qualified students.&lt;br /&gt;
&lt;br /&gt;For More Information&lt;br /&gt;
&lt;br /&gt;Contact Program Director Angineek Gillenwater: (910) 410-1708.&lt;br /&gt;
&lt;br /&gt;</t>
  </si>
  <si>
    <t>Firefighters.jpg</t>
  </si>
  <si>
    <t>Forklift Operator Training </t>
  </si>
  <si>
    <t>$70 plus fees</t>
  </si>
  <si>
    <t>&lt;!-- Forklift Operator Training --&gt;
  &lt;iframe onload="initializeScripts('program-widget-acf578', 'https://widget.lightcastcc.com')" id="program-widget-acf578"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119&amp;visitButtonColor=%238E1F32&amp;headingText=Our%20students%20can%20go%20into%20these%20careers%3A"&gt;&lt;/iframe&gt;&lt;script type="text/javascript" src="https://widget.lightcastcc.com/scripts.js"&gt;&lt;/script&gt;</t>
  </si>
  <si>
    <t>This one-day course will combine classroom instruction and hands-on driving practice to provide you with the knowledge and skills to operate a forklift safely and professionally. Earn your certification in one-day!&lt;br /&gt;
&lt;br /&gt;
Oct. 18 | 8 a.m. to 5 p.m. (plus 1-hour lunch break) | Lindsey-Petris Building, room 130, Hamlet Campus | Tuition for this class is $70.&lt;br /&gt;
&lt;br /&gt;
Course Topics Include:&lt;br /&gt;
&lt;br /&gt;
Basic forklift operating instructions&lt;br /&gt;
&lt;br /&gt;
Controls and instrumentation&lt;br /&gt;
&lt;br /&gt;
Vehicle stability and capacity&lt;br /&gt;
&lt;br /&gt;
Course Fees&lt;br /&gt;
&lt;br /&gt;
Cost: $70&lt;br /&gt;
&lt;br /&gt;
*Minimum enrollment is required; pre-registration is recommended.</t>
  </si>
  <si>
    <t>Forklift_Website.png</t>
  </si>
  <si>
    <t>General Contractor CEUs</t>
  </si>
  <si>
    <t>&lt;!-- General Contractor --&gt;
  &lt;iframe onload="initializeScripts('program-widget-92ee1e', 'https://widget.lightcastcc.com')" id="program-widget-92ee1e"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174&amp;visitButtonColor=%238E1F32&amp;headingText=Our%20students%20can%20go%20into%20these%20careers%3A"&gt;&lt;/iframe&gt;&lt;script type="text/javascript" src="https://widget.lightcastcc.com/scripts.js"&gt;&lt;/script&gt;</t>
  </si>
  <si>
    <t>This one-day course will satisfy continuing education requirements outlined in the  Continuing Education General Statue 87-10.2, which states that North Carolina licensed general contractors were required to complete continuing education (CE) beginning with 2021 license renewals.&lt;br /&gt;
&lt;br /&gt;Mandatory 2-hour course produced by the North Carolina Licensing Board for General Contractors with information about changed in the laws and rules and other content applicable to general contracting.&lt;br /&gt;
&lt;br /&gt;
The remaining 6 hours will be elective courses produced by outside providers, submitted to and approved by the North Carolina Licensing Board for General Contractors.&lt;br /&gt;
&lt;br /&gt;
Timing for the continuing education year begins Jan. 1 and ends on Nov. 30 annually. Classes will not be offered during the month of December.&lt;br /&gt;
&lt;br /&gt;
Upcoming Classes&lt;br /&gt;
&lt;br /&gt;
Oct. 24 from 8 a.m. to 5 p.m. | Grimsley Building, room 103, Hamlet Campus | Cost $149&lt;br /&gt;
&lt;br /&gt;
Nov. 21 from 8 a.m. to 5 p.m. | Grimsley Building, room 103, Hamlet Campus | Cost $149&lt;br /&gt;
&lt;br /&gt;For More Information&lt;br /&gt;
&lt;br /&gt;Call (910) 410-1700.</t>
  </si>
  <si>
    <t>General_Contractor_Website.png</t>
  </si>
  <si>
    <t>25200</t>
  </si>
  <si>
    <t>Healthcare Management Technology</t>
  </si>
  <si>
    <t>&lt;!-- Healthcare Management Technology --&gt;
  &lt;iframe onload="initializeScripts('program-widget-6fed0c', 'https://widget.lightcastcc.com')" id="program-widget-6fed0c"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35&amp;visitButtonColor=%238E1F32&amp;headingText=Our%20students%20can%20go%20into%20these%20careers%3A"&gt;&lt;/iframe&gt;&lt;script type="text/javascript" src="https://widget.lightcastcc.com/scripts.js"&gt;&lt;/script&gt;</t>
  </si>
  <si>
    <t>Gardner Webb Univesity</t>
  </si>
  <si>
    <t>The Healthcare Management Technology curriculum prepares individuals for employment in healthcare business and financial operations in areas such as general healthcare management, entrepreneurship, and long-term care.&lt;br /&gt;
&lt;br /&gt;
Course work includes medical office management, financial management, legal aspects of healthcare, medical insurance and billing analysis, and other topics depending on the subject area selected within this curriculum. &lt;br /&gt;
&lt;br /&gt;
Graduates should qualify for employment opportunities in a variety of healthcare settings including hospitals, medical offices, outpatient clinics, long-term care facilities, and insurance companies. Industry recognized certifications may be available for graduates with work experience.&lt;br /&gt;</t>
  </si>
  <si>
    <t>healthcare_managemnt_website_1.jpg</t>
  </si>
  <si>
    <t>High School Equivalency</t>
  </si>
  <si>
    <t>&lt;!-- Adult High School Diploma/High School Equivalency --&gt;
  &lt;iframe onload="initializeScripts('program-widget-254618', 'https://widget.lightcastcc.com')" id="program-widget-254618"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89&amp;visitButtonColor=%238E1F32&amp;headingText=Our%20students%20can%20go%20into%20these%20careers%3A"&gt;&lt;/iframe&gt;&lt;script type="text/javascript" src="https://widget.lightcastcc.com/scripts.js"&gt;&lt;/script&gt;</t>
  </si>
  <si>
    <t>/academics/adult_education/high_school_equivalency_testing_services_GED_HiSET</t>
  </si>
  <si>
    <t>Graduates_Celebrate.jpg</t>
  </si>
  <si>
    <t>45380</t>
  </si>
  <si>
    <t>Social and Human Services</t>
  </si>
  <si>
    <t>&lt;!-- Human Services Technology --&gt;
  &lt;iframe onload="initializeScripts('program-widget-8d5cf0', 'https://widget.lightcastcc.com')" id="program-widget-8d5cf0"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38&amp;visitButtonColor=%238E1F32&amp;headingText=Our%20students%20can%20go%20into%20these%20careers%3A"&gt;&lt;/iframe&gt;&lt;script type="text/javascript" src="https://widget.lightcastcc.com/scripts.js"&gt;&lt;/script&gt;</t>
  </si>
  <si>
    <t>Mount Vernon Nazarene Univesity</t>
  </si>
  <si>
    <t>The Social and Human Services Technology curriculum prepares students for entry-level positions in institutions and agencies which provide social, community, and behavioral health services. Along with core courses, students take courses which prepare them for specialization in specific human service areas.&lt;br /&gt;
&lt;br /&gt;
Coursework includes the development of professional knowledge, skills, and values in human services. Opportunities for experiential learning allow students to apply knowledge and skills learned in the classroom.&lt;br /&gt;
&lt;br /&gt;
Graduates should qualify for positions in government, private, and nonprofit social and human services agencies. 
Graduates may choose to transfer and continue their education at a variety of colleges and universities.&lt;br /&gt;
&lt;br /&gt;
When you enroll in the associate degree program for Human Services Technology, you will take courses from a variety of disciplines. Human Services Technology imageEmphasis is placed on core courses such as development of relevant knowledge, skills, and attitudes in human services. You will gain hands-on experience in the field and will have the opportunity to apply the knowledge and skills you learned in the classroom. Completion of the program will qualify you for positions in mental health, child care, family services, social services, rehabilitation, correction and educational agencies. Graduates choosing to continue their education may select from a variety of transfer programs at senior public and private institutions.&lt;br /&gt;
&lt;br /&gt;
Is This Career for Me? The answer is YES if you:&lt;br /&gt;
&lt;br /&gt;
Have a strong desire to help others.&lt;br /&gt;
Show patience, understanding and caring in dealings with others.&lt;br /&gt;
Have effective communication skills, a strong sense of responsibility, and an ability to manage time effectively.&lt;br /&gt;&lt;br /&gt;
Begin With A Certificate if you want to give the Human Service Technology program a try, start with one of the certificates.&lt;br /&gt;
&lt;br /&gt;
Continue Your Education&lt;br /&gt;
Use your associate degree as a stepping stone to further your education. The articulation agreements RCC has signed with universities and colleges throughout North Carolina guarantees that the classes you take at RCC will be accepted by these four-year institutions. Explore your transfer options!&lt;br /&gt;</t>
  </si>
  <si>
    <t>Human_Services_website_1.jpg</t>
  </si>
  <si>
    <t>4538D</t>
  </si>
  <si>
    <t>Human Services Technology:  Social Services</t>
  </si>
  <si>
    <t>&lt;!-- HST - Social Services --&gt;
  &lt;iframe onload="initializeScripts('program-widget-f9054a', 'https://widget.lightcastcc.com')" id="program-widget-f9054a"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121&amp;visitButtonColor=%238E1F32&amp;headingText=Our%20students%20can%20go%20into%20these%20careers%3A"&gt;&lt;/iframe&gt;&lt;script type="text/javascript" src="https://widget.lightcastcc.com/scripts.js"&gt;&lt;/script&gt;</t>
  </si>
  <si>
    <t>The Human Services Technology/Social Services concentration prepares students for direct service delivery work in social service agencies. The curriculum enables students to link theory and practice through interactive classroom activities developing a skill-based academic foundation.&lt;br /&gt;
&lt;br /&gt;
Course work includes the history of the social service movement, ethical issues, case management, diversity issues, law in the practice of social work, and community resources. Students also gain skills in interviewing and counseling techniques.&lt;br /&gt;
&lt;br /&gt;
Graduates should qualify for employment with local, county, state, and federal government social service agencies. Employment includes family and child assistance, rehabilitation health services, medical assistance, youth services, aging, and developmentally disabled programs public and private settings.&lt; br /&gt;</t>
  </si>
  <si>
    <t>Human_Services_website_2.jpg</t>
  </si>
  <si>
    <t>4538E</t>
  </si>
  <si>
    <t>Human Services Technology:  Addiction and Recovery Studies</t>
  </si>
  <si>
    <t>&lt;!-- HST - Addiction &amp; Recovery Studies --&gt;
  &lt;iframe onload="initializeScripts('program-widget-7cc0b2', 'https://widget.lightcastcc.com')" id="program-widget-7cc0b2"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149&amp;visitButtonColor=%238E1F32&amp;headingText=Our%20students%20can%20go%20into%20these%20careers%3A"&gt;&lt;/iframe&gt;&lt;script type="text/javascript" src="https://widget.lightcastcc.com/scripts.js"&gt;&lt;/script&gt;</t>
  </si>
  <si>
    <t>The Human Services Technology/Addiction and Recovery Studies concentration prepares students to assist in drug and alcohol counseling, prevention-oriented educational activities, rehabilitation with recovering clients, managing community-based programs, counseling in residential facilities, and pursuit of four-year degrees.&lt;br /&gt;
&lt;br /&gt;
Course work includes classroom and experiential activities oriented toward an overview of chemical dependency, psychological/sociological process, the twelve Core Functions, intervention techniques with individuals in groups, and follow-up activities with recovering clients.&lt;br /&gt;
&lt;br /&gt;
Graduates should qualify for positions as substance abuse counselors, DWI counselors, halfway house workers, residential facility employees, and substance education specialists. With educational and clinical experiences, graduates can obtain certification by the North Carolina Addiction Specialist Professional Practice Board.&lt; br /&gt;</t>
  </si>
  <si>
    <t>Human_Services_addiction_recov_website.jpg</t>
  </si>
  <si>
    <t>Income Maintenance Caseworker Phase 1 &amp; 2</t>
  </si>
  <si>
    <t>&lt;!-- Income Maintenance Caseworker - NCFAST Phase I &amp; II --&gt;
  &lt;iframe onload="initializeScripts('program-widget-8a11f1', 'https://widget.lightcastcc.com')" id="program-widget-8a11f1"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122&amp;visitButtonColor=%238E1F32&amp;headingText=Our%20students%20can%20go%20into%20these%20careers%3A"&gt;&lt;/iframe&gt;&lt;script type="text/javascript" src="https://widget.lightcastcc.com/scripts.js"&gt;&lt;/script&gt;</t>
  </si>
  <si>
    <t>These courses cover the skills and strategies designed to provide skills training for a career in Human Services, with an emphasis on employment with the N.C. Department of Social Services (DSS). Students will learn how to use NCFAST, a software program used throughout the departments of Health and Human Services and departments of Social Services. RichmondCC will award 4 college credit hours in the Human Services Technology program to students who successfully complete NCFAST Phase 1 &amp; 2. &lt;br /&gt;
&lt;br /&gt;
Phase 1: Intro to Human Services&lt;br /&gt;
&lt;br /&gt;
Students will be introduced to NCFAST, a software program that is used throughout the departments of Health and Human Services and departments of Social Services.&lt;br /&gt;
&lt;br /&gt;
Class Details &amp; Cost&lt;br /&gt;
&lt;br /&gt;
TBA&lt;br /&gt;
&lt;br /&gt;
Phase 2: Income Maintenance Caseworker&lt;br /&gt;
&lt;br /&gt;
The focus of this phase is to provide instruction and practice in processing Food and Nutrition and MAGI (Modified Adjusted Gross Income) applications. This phase improves the skills for both current and prospective Departments of Social Services employees&lt;br /&gt;
&lt;br /&gt;
Class Details &amp; Cost&lt;br /&gt;
&lt;br /&gt;
SCOTLAND COUNTY: Oct. 20 - Dec. 15 | Mondays and Wednesdays from 5:30 to 8:30 p.m. | Morgan Center, room 207, Scotland County Campus | Tuition for this class is $125.
&lt;br /&gt;
&lt;br /&gt;RICHMOND COUNTY: Oct. 21 - Dec. 18 | Tuesdays and Thursdays from 6 to 9 p.m. | Robinette Building, room 314, Rockingham | Tuition for this class is $125.
&lt;br /&gt;
&lt;br /&gt;Your Course Tuition Could Be waived!
&lt;br /&gt;
&lt;br /&gt;Tuition is waived for students who meet one of the following qualifications:&lt;br /&gt;
&lt;br /&gt;
Has received notice of pending layoff&lt;br /&gt;
&lt;br /&gt;
Is working and eligible for Federal Earned Income Tax Credit&lt;br /&gt;
&lt;br /&gt;
Is working and earning at or below 200% of Federal Poverty Guidelines&lt;br /&gt;
&lt;br /&gt;
Is unemployed&lt;br /&gt;
&lt;br /&gt;&lt;br /&gt;For More Information&lt;br /&gt;
&lt;br /&gt;Call (910) 410-1700.</t>
  </si>
  <si>
    <t>Industrial Systems</t>
  </si>
  <si>
    <t>This course will provide you with hands-on training to be an Industrial Systems Technician capable of working in a variety of manufacturing settings. You will learn technical skills for troubleshooting, maintaining and repairing mechanical equipment, electrical motor controls, and other systems commonly found in industry.&lt;br /&gt;
&lt;br /&gt;Class Details &amp; Cost&lt;br /&gt;
&lt;br /&gt;
Phase 1: Sept. 2 - Dec. 11 | Tuesdays and Thursdays from 8 a.m. to 5 p.m. and every other Friday from 8 a.m. to 1 p.m. PLUS online assignments | Hamlet Campus, Forte Building, room 328 | Tuition for this class is $180; fees for this class are $205.&lt;br /&gt;
&lt;br /&gt;
Course Topics&lt;br /&gt;
&lt;br /&gt;
Safety&lt;br /&gt;
&lt;br /&gt;
Measuring &amp; Test Equipment&lt;br /&gt;
&lt;br /&gt;
Mechanical Systems (Troubleshooting &amp; Maintenance)&lt;br /&gt;
&lt;br /&gt;
Electrical Systems (Troubleshooting &amp; Maintenance)&lt;br /&gt;
&lt;br /&gt;
Fluid Power (Troubleshooting &amp; Maintenance)&lt;br /&gt;
&lt;br /&gt;
Documentation (Workorder)&lt;br /&gt;
&lt;br /&gt;
Industrial Maintenance Certification from the National &lt;br /&gt;
&lt;br /&gt;Institute of Metalworking Skills (NIMS)*&lt;br /&gt;
&lt;br /&gt;
Certifications Upon Completion&lt;br /&gt;
&lt;br /&gt;
OSHA 10&lt;br /&gt;
&lt;br /&gt;
Arc Flash Safety&lt;br /&gt;
&lt;br /&gt;
Lockout/Tagout&lt;br /&gt;
&lt;br /&gt;
*Accredited programs demonstrate the ability to produce skilled, work-ready individuals that fulfill industry's 21st Century workforce needs.&lt;br /&gt;For More Information&lt;br /&gt;
&lt;br /&gt;Call (910) 410-1700.</t>
  </si>
  <si>
    <t>Industrial_Systems_Expo_1.jpg</t>
  </si>
  <si>
    <t>Industrial Mechanics </t>
  </si>
  <si>
    <t>&lt;!-- Industrial Systems Technician --&gt;
  &lt;iframe onload="initializeScripts('program-widget-80bb6f', 'https://widget.lightcastcc.com')" id="program-widget-80bb6f"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43&amp;visitButtonColor=%238E1F32&amp;headingText=Our%20students%20can%20go%20into%20these%20careers%3A"&gt;&lt;/iframe&gt;&lt;script type="text/javascript" src="https://widget.lightcastcc.com/scripts.js"&gt;&lt;/script&gt;</t>
  </si>
  <si>
    <t>This course will provide you with hands-on training to be an Industrial Mechanic capable of working in a variety of manufacturing settings. Industrial Mechanics Course August 2021 New Skills, New LifeYou will learn technical skills for troubleshooting, maintaining and repairing mechanical equipment, electrical motor controls, and other systems commonly found in industry. The class includes one-day of forklift operator training!
Class Dates: TBD
Class to be held 9 a.m. to 4 p.m. Mondays through Thursdays (includes 1-hour lunch break) and Fridays 9 a.m. to 1 p.m.
Class will be held at the Morgan Center on the Scotland County Campus in Laurinburg. Class will also meet one Saturday a month from 8 a.m. - noon.
Cost: $50 *Limited time pricing includes tool kit value of $150, no other fees are required for this course.
COURSE TOPICS
Motor controls
Hydraulics &amp; pneumatics
Programmable logic controllers
Mechanical training systems
Resume writing and how to prepare for a successful interview
CERTIFICATIONS UPON COMPLETION
NCCER Core
NCCER Industrial Maintenance Electrical and Instrumentation Technician Level 1
NCCER Industrial Maintenance Mechanic Level 1
OSHA 10
Forklift Operator
Arc Flash Safety
Lockout/Tagout</t>
  </si>
  <si>
    <t>Industrial_Systems_Expo_8.jpg</t>
  </si>
  <si>
    <t>55290</t>
  </si>
  <si>
    <t>Infant/Toddler Care</t>
  </si>
  <si>
    <t>&lt;!-- Infant/Toddler Care --&gt;
  &lt;iframe onload="initializeScripts('program-widget-41308f', 'https://widget.lightcastcc.com')" id="program-widget-41308f"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44&amp;visitButtonColor=%238E1F32&amp;headingText=Our%20students%20can%20go%20into%20these%20careers%3A"&gt;&lt;/iframe&gt;&lt;script type="text/javascript" src="https://widget.lightcastcc.com/scripts.js"&gt;&lt;/script&gt;</t>
  </si>
  <si>
    <t>The curriculum prepares individuals to work with children from infancy to three years of age in diverse learning environments. Students will combine learned theories, competency-based knowledge, and practice in actual settings with infants and toddlers.&lt;br /&gt;
&lt;br /&gt;
Course work includes infant/toddler growth and development:  physical/nutritional needs of infants and toddlers; safety issues in the care of infants and toddlers; care and guidance; communication skills with families and children; design an implementation of appropriate curriculum; and other related topics.&lt;br /&gt;
&lt;br /&gt;
Graduates should be prepared to plan and implement developmentally appropriate infant/toddler programs in early childhood settings. Employment opportunities include child development and child care programs, preschools, public and private schools, recreational centers, Early Head Start Programs, and other infant/toddler programs.&lt;br /&gt;</t>
  </si>
  <si>
    <t>ECE_website_6.jpg</t>
  </si>
  <si>
    <t>25590</t>
  </si>
  <si>
    <t>Information Technology</t>
  </si>
  <si>
    <t>&lt;!-- Information Technology Support --&gt;
  &lt;iframe onload="initializeScripts('program-widget-1c1f4d', 'https://widget.lightcastcc.com')" id="program-widget-1c1f4d"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57&amp;visitButtonColor=%238E1F32&amp;headingText=Our%20students%20can%20go%20into%20these%20careers%3A"&gt;&lt;/iframe&gt;&lt;script type="text/javascript" src="https://widget.lightcastcc.com/scripts.js"&gt;&lt;/script&gt;</t>
  </si>
  <si>
    <t>NCA&amp;T</t>
  </si>
  <si>
    <t>Franklin Univeristy</t>
  </si>
  <si>
    <t>The Information Technology (IT) curriculum prepares graduates for employment in the technology sector as designers, testers, support technicians, system administrators, developers, or programmers who use computer software and/or hardware to design, process, implement and manage information systems in specialties such as database services, security, business intelligence, healthcare informatics and others depending on the technical path selected within this curriculum.The Information Technology (IT) curriculum prepares graduates for employment in the technology sector as designers, testers, support technicians, system administrators, developers, or programmers who use computer software and/or hardware to design, process, implement and manage information systems in specialties such as database services, security, business intelligence, healthcare informatics and others depending on the technical path selected within this curriculum.&lt;br /&gt;
&lt;br /&gt;
Course work includes the development of a student’s ability to create, store, communicate, exchange and use the information to solve technical issues related to information support and services, interactive media, network systems, programming and software development, information security and other emerging technologies based on the selected area of study.&lt;br /&gt;
&lt;br /&gt;
Graduates should qualify for employment in entry-level positions with businesses, educational systems, and governmental agencies which rely on computer systems to design and manage information. The program will incorporate the competencies of industry-recognized certification exams.&lt;br /&gt;</t>
  </si>
  <si>
    <t>information_technology_website_1.jpg</t>
  </si>
  <si>
    <t>Injection Molding Training</t>
  </si>
  <si>
    <t>This course will introduce you to the injection molding process used by local plastic manufacturers. Upon successful completion of this course, you will learn machine set-up and operation and have an understanding of plastic molding technology.
Course Topics
Relationship between machine/polymer parts
Machine types and controls
Mold types and molding factors
Machine troubleshooting
Molding problems and solutions
Get the Skills, Get a Guaranteed Job Interview!
Cost: $180
Plastek will guarantee a job interview to anyone who successfully completes this class!</t>
  </si>
  <si>
    <t>injection_molding_website.png</t>
  </si>
  <si>
    <t>Introduction to Art </t>
  </si>
  <si>
    <t>This introductory computer course that will focus on keyboarding, word processing and using the Internet; job search strategies and applying for employment online; and accessing governmental and educational resources and services.
Next Class Dates: TBA
Course Topics Include:
Developing basic keyboarding, word processing and internet skills
Learning technology-based job search strategies to include the use of social networking
Applying for employment online
Access governmental and educational resources and services
Course Fees
Cost: $125, fee waived for qualified students.
Your course fee could be waived!
Tuition is waived for students who meet one of the following qualifications:
Has received notice of pending layoff
Is working and eligible for Federal Earned Income Tax Credit
Is working and earning at or below 200% of Federal Poverty Guidelines
Is Unemployed</t>
  </si>
  <si>
    <t>Art_Therapy.jpg</t>
  </si>
  <si>
    <t>Introduction to Computers </t>
  </si>
  <si>
    <t>&lt;!-- Introduction to Computers --&gt;
  &lt;iframe onload="initializeScripts('program-widget-d8bcaf', 'https://widget.lightcastcc.com')" id="program-widget-d8bcaf"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162&amp;visitButtonColor=%238E1F32&amp;headingText=Our%20students%20can%20go%20into%20these%20careers%3A"&gt;&lt;/iframe&gt;&lt;script type="text/javascript" src="https://widget.lightcastcc.com/scripts.js"&gt;&lt;/script&gt;</t>
  </si>
  <si>
    <t>This introductory computer course that will focus on keyboarding, word processing and using the Internet; job search strategies and applying for employment online; and accessing governmental and educational resources and services.&lt;br /&gt;
&lt;br /&gt;Upcoming Classes&lt;br /&gt;
&lt;br /&gt;
Sept. 3 - 29&lt;br /&gt;
&lt;br /&gt;
Oct. 1 - 29&lt;br /&gt;
&lt;br /&gt;
Feb. 2 - 25&lt;br /&gt;
&lt;br /&gt;
March 2 - 30&lt;br /&gt;
&lt;br /&gt;
Classes will meet Mondays and Wednesdays from 6 to 8 p.m. at the Honeycutt Center, room 123, Scotland County Campus&lt;br /&gt;
&lt;br /&gt;
Course Cost&lt;br /&gt;
&lt;br /&gt;
Cost is $70.&lt;br /&gt;
&lt;br /&gt;
Tuition Waiver&lt;br /&gt;
&lt;br /&gt;
Tuition is waived for students who meet one of the following qualifications:
Has received notice of pending layoff&lt;br /&gt;
&lt;br /&gt;
Is working and eligible for Federal Earned Income Tax Credit&lt;br /&gt;
&lt;br /&gt;
Is working and earning at or below 200% of Federal Poverty Guidelines&lt;br /&gt;
&lt;br /&gt;
Is Unemployed&lt;br /&gt;
&lt;br /&gt;For More Information&lt;br /&gt;
&lt;br /&gt;(910) 410-1700</t>
  </si>
  <si>
    <t>intro_computers_website.png</t>
  </si>
  <si>
    <t>Introduction to Construction</t>
  </si>
  <si>
    <t>&lt;!-- Introduction to Construction --&gt;
  &lt;iframe onload="initializeScripts('program-widget-d933f7', 'https://widget.lightcastcc.com')" id="program-widget-d933f7"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199&amp;visitButtonColor=%238E1F32&amp;headingText=Our%20students%20can%20go%20into%20these%20careers%3A"&gt;&lt;/iframe&gt;&lt;script type="text/javascript" src="https://widget.lightcastcc.com/scripts.js"&gt;&lt;/script&gt;</t>
  </si>
  <si>
    <t>&lt;p&gt;The course provides instruction related to the core skills used by carpenters in residential and commercial settings. This will be a hybrid course that will provide an overview of the construction&amp;nbsp;industry and lead to a NCCER Core Certification.&lt;/p&gt;</t>
  </si>
  <si>
    <t>Intro_to_construction_website.png</t>
  </si>
  <si>
    <t>Introduction to Guitar</t>
  </si>
  <si>
    <t>&lt;!-- Introduction to Guitar --&gt;
  &lt;iframe onload="initializeScripts('program-widget-81c4e2', 'https://widget.lightcastcc.com')" id="program-widget-81c4e2"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200&amp;visitButtonColor=%238E1F32&amp;headingText=Our%20students%20can%20go%20into%20these%20careers%3A"&gt;&lt;/iframe&gt;&lt;script type="text/javascript" src="https://widget.lightcastcc.com/scripts.js"&gt;&lt;/script&gt;</t>
  </si>
  <si>
    <t>Students will learn the common parts of the guitar and proper maintenance, basic chords and how to smoothly switch between different chords. Students need to supply their own guitar.Class Dates&lt;br /&gt;
&lt;br /&gt;
Level One (Intro to Guitar): Sept. 16 - Dec. 16 | Tuesdays from 6 to 8 p.m. | Lindsey-Petris Building, room 121, Hamlet Campus&lt;br /&gt;
&lt;br /&gt;
Level Two: TBA&lt;br /&gt;For More Information&lt;br /&gt;
&lt;br /&gt;(910) 410-1700</t>
  </si>
  <si>
    <t>guitar_lessons_website.png</t>
  </si>
  <si>
    <t>Introduction to QuickBooks</t>
  </si>
  <si>
    <t>&lt;!-- Introduction to QuickBooks --&gt;
  &lt;iframe onload="initializeScripts('program-widget-3e44f9', 'https://widget.lightcastcc.com')" id="program-widget-3e44f9"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177&amp;visitButtonColor=%238E1F32&amp;headingText=Our%20students%20can%20go%20into%20these%20careers%3A"&gt;&lt;/iframe&gt;&lt;script type="text/javascript" src="https://widget.lightcastcc.com/scripts.js"&gt;&lt;/script&gt;</t>
  </si>
  <si>
    <t>This is an introductory course for individuals wanting to learn the QuickBooks software.&lt;br /&gt;
&lt;br /&gt;
Course Topics:&lt;br /&gt;
&lt;br /&gt;
Setting up a new company&lt;br /&gt;
&lt;br /&gt;
Chart of accounts&lt;br /&gt;
&lt;br /&gt;
Transactions&lt;br /&gt;
&lt;br /&gt;
Career exploration and job strategies&lt;br /&gt;
&lt;br /&gt;
Reconciling bank and credit card statements&lt;br /&gt;
&lt;br /&gt;
Upon completion of the course, students will be able to identify parts of the screen, work with lists, enter sales and invoices, enter payments and deposits, pay bills, work with bank accounts, analyze financial data, track and pay sales tax, and create payroll.&lt;br /&gt;
&lt;br /&gt;
Class Dates: TBA&lt;br /&gt;
&lt;br /&gt;
Location: Online Course&lt;br /&gt;
&lt;br /&gt;For More Information&lt;br /&gt;
&lt;br /&gt;Call (910) 410-1700.</t>
  </si>
  <si>
    <t>quickbooks_website.png</t>
  </si>
  <si>
    <t>Law Enforcement General Instruction Training </t>
  </si>
  <si>
    <t>$180 (Only offered to current LEO so fee waived)  </t>
  </si>
  <si>
    <t>&lt;!-- Law Enforcement General Instructor Training --&gt;
  &lt;iframe onload="initializeScripts('program-widget-49af90', 'https://widget.lightcastcc.com')" id="program-widget-49af90"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126&amp;visitButtonColor=%238E1F32&amp;headingText=Our%20students%20can%20go%20into%20these%20careers%3A"&gt;&lt;/iframe&gt;&lt;script type="text/javascript" src="https://widget.lightcastcc.com/scripts.js"&gt;&lt;/script&gt;</t>
  </si>
  <si>
    <t>This course is designed to provide the law enforcement officer with a fundamental background in the instruction of other law enforcement personnel. SuA police vehicle parked outside Cole Auditoriumccessful completion of this course allows you to apply to the Criminal Justice Training and Standards Division for certification as a law enforcement instructor. You must successfully pass the state-administered written exam as well as demonstrate competency in all skill areas in order to be eligible for certification as a criminal justice instructor.
Requirements for Class
You must meet state-established prerequisites for admission to this course as addressed in 12 NCAC 09B.0302 General Instructor Certification. It is your responsibility to have the up-to-date manual of General Instructor Training, Student Edition. This manual can be ordered from the Richmond Community College bookstore, (910) 410-1851, and is mandatory for the first day of class. Knowledge of Microsoft Word and PowerPoint is required for this course, and you are required to bring a laptop to class.
Prior to the first class, you should select and research an appropriate topic for development of an 80-minute lesson plan. We recommend you consult with your supervisor to select a topic as you might be expected to teach this topic within your agency. Your research should result in sufficient resources and information to begin writing the required lesson plan once you have received training in how to do so. Select a topic with which you are familiar since there is not sufficient time during the two weeks of class to research and become familiar with a new topic. Your completed lesson plan must be the product of your own work. Your topic must be approved by Public Safety Director Neil Parrisher before the first day of class and before starting on your lesson plan. 
This two-week course requires 100 percent participation. It is YOUR responsibility to clear personal and business schedules in order to attend every class session.&lt;br /&gt;For More Information&lt;br /&gt;
&lt;br /&gt;Call (910) 410-1700.</t>
  </si>
  <si>
    <t>Law_Enforcement_Instructor.jpg</t>
  </si>
  <si>
    <t>Machining I</t>
  </si>
  <si>
    <t>&lt;!-- Machining --&gt;
  &lt;iframe onload="initializeScripts('program-widget-2a78e5', 'https://widget.lightcastcc.com')" id="program-widget-2a78e5"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192&amp;visitButtonColor=%238E1F32&amp;headingText=Our%20students%20can%20go%20into%20these%20careers%3A"&gt;&lt;/iframe&gt;&lt;script type="text/javascript" src="https://widget.lightcastcc.com/scripts.js"&gt;&lt;/script&gt;</t>
  </si>
  <si>
    <t>Computer-Integrated Machining prepares students with the analytical, creative and innovative skills necessary to take a production idea from an initial concept through design, development, and production, resulting in a finished product. Coursework includes manual machining, computer applications, engineering design, computer-aided drafting (CAD), computer-aided machining (CAM), blueprint interpretation, advanced computerized numeric control (CNC) equipment, basic and advanced machining operations, precision measurement and high-speed multi-axis machining.</t>
  </si>
  <si>
    <t>Machining_2_website.jpg</t>
  </si>
  <si>
    <t>Advanced Machining I</t>
  </si>
  <si>
    <t>*Students must have completed Machining Technology before enrolling in Advanced Machining II.</t>
  </si>
  <si>
    <t>Machining_1_website.jpg</t>
  </si>
  <si>
    <t>Advanced Machining</t>
  </si>
  <si>
    <t>*Students must have completed Advanced Machining I before enrolling in Advanced Machining II.</t>
  </si>
  <si>
    <t>Machining_Advanced.jpg</t>
  </si>
  <si>
    <t>Maintenance Mechanic</t>
  </si>
  <si>
    <t>Industrial_Mechanic.jpg</t>
  </si>
  <si>
    <t>Management Leadership Development</t>
  </si>
  <si>
    <t>Management.jpg</t>
  </si>
  <si>
    <t>Mechanical Engineering Technician</t>
  </si>
  <si>
    <t>Peen State University</t>
  </si>
  <si>
    <t>&lt;b&gt;EFFECTIVE 2022 FALL:  
THIS PROGRAM IS IN TEACH-OUT STATUS. NO NEW STUDENTS WILL BE ENROLLED. CURRENT STUDENTS MUST COMPLETE THE PROGRAM BY 2024 SPRING. LAST SEMESTER THESE CLASSES WILL BE OFFERED WILL BE 2024 SPRING.&lt;/b&gt;
&lt;b&gt;ENGINEERING AND TECHNOLOGY PATHWAYS&lt;/b&gt;
These curriculums are designed to prepare students through the study and application of principles from mathematics, natural sciences, and technology and applied processes based on these subjects.
Course work includes mathematics, natural sciences, engineering sciences and technology.
Graduates should qualify to obtain occupations such as technical service providers, materials and technologies testing services, process improvement technicians, engineering technicians, industrial and technology managers, or research technicians.
&lt;b&gt;PROGRAM DESCRIPTION&lt;/b&gt;
A course of study that prepares the students to use basic engineering principles and technical skills to design, develop, test, and troubleshoot projects involving mechanical systems. Includes instruction in principles of mechanics, applications to specific engineering systems, design testing procedures, prototype and operational testing and inspection procedures, manufacturing system-testing procedures, test equipment operation and maintenance, computer applications, critical thinking, planning and problem solving, and oral and written communications. Graduates of the curriculum will find employment opportunities in the manufacturing or service sectors of engineering technology. Engineering technicians may obtain professional certification by application to organizations such as ASQC, SME, and NICET.</t>
  </si>
  <si>
    <t>Mechanical_Engineering_website_3.jpg</t>
  </si>
  <si>
    <t>40350</t>
  </si>
  <si>
    <t>Mechatronics Engineering Technology</t>
  </si>
  <si>
    <t>&lt;!-- Mechatronics Engineering Technology --&gt;
  &lt;iframe onload="initializeScripts('program-widget-bcdf33', 'https://widget.lightcastcc.com')" id="program-widget-bcdf33"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65&amp;visitButtonColor=%238E1F32&amp;headingText=Our%20students%20can%20go%20into%20these%20careers%3A"&gt;&lt;/iframe&gt;&lt;script type="text/javascript" src="https://widget.lightcastcc.com/scripts.js"&gt;&lt;/script&gt;</t>
  </si>
  <si>
    <t>&lt;b&gt;ENGINEERING AND TECHNOLOGY PATHWAYS&lt;/b&gt;:  These curriculums are designed to prepare students through the study and application of principles from mathematics, natural sciences, and technology and applied processes based on these subjects.&lt;br /&gt;
&lt;br /&gt;
Course work includes mathematics, natural sciences, engineering sciences and technology.&lt;br /&gt;
&lt;br /&gt;
Graduates should qualify to obtain occupations such as technical service providers, materials and technologies testing services, process improvement technicians, engineering technicians, industrial and technology managers, or research technicians.&lt;br /&gt;
&lt;br /&gt;
&lt;b&gt;PROGRAM DESCRIPTION&lt;/b&gt;:  A course of study that prepares the students to use basic engineering principles and technical skills in developing and testing automated, servomechanical, and other electromechanical systems. Includes instruction in prototype testing, manufacturing and operational testing, systems analysis and maintenance procedures. Graduates should be qualified for employment in industrial maintenance and manufacturing including assembly, testing, startup, troubleshooting, repair, process improvement, and control systems, and should qualify to sit for Packaging Machinery Manufacturers Institute (PMMI) mechatronics or similar industry examinations.&lt;br /&gt;</t>
  </si>
  <si>
    <t>Mechatronics_website_2.jpg</t>
  </si>
  <si>
    <t>Medication Aide</t>
  </si>
  <si>
    <t>&lt;!-- Medication Aide --&gt;
  &lt;iframe onload="initializeScripts('program-widget-2c3a27', 'https://widget.lightcastcc.com')" id="program-widget-2c3a27"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68&amp;visitButtonColor=%238E1F32&amp;headingText=Our%20students%20can%20go%20into%20these%20careers%3A"&gt;&lt;/iframe&gt;&lt;script type="text/javascript" src="https://widget.lightcastcc.com/scripts.js"&gt;&lt;/script&gt;</t>
  </si>
  <si>
    <t>This class is for N.C. Certified Nursing Assistants who want to become certified as N.C. Medication Aide. It will prepare CNAs for the N.C. Board of Nursing exam for Medication Aide. You must be a licensed CNA to take this class.&lt;br /&gt;
&lt;br /&gt;
Class Details &amp; Cost&lt;br /&gt;
&lt;br /&gt;
Nov. 4-20 | Tuesdays &amp; Thursdays from 9 a.m. to 1 p.m. | Robinette Building, room 106, Rockingham | Tuition for this class is $70; fees are $80.&lt;br /&gt;
&lt;br /&gt;
Course Topics&lt;br /&gt;
&lt;br /&gt;
Recognizing toxic side effects of medication&lt;br /&gt;
&lt;br /&gt;
Recognizing allergic reactions&lt;br /&gt;
&lt;br /&gt;
Recognizing immediate desired effects or unusual and unexpected effects&lt;br /&gt;
&lt;br /&gt;
Monitoring changes in a client's condition that contraindicates continued administration of medication&lt;br /&gt;
&lt;br /&gt;
Anticipating and recognizing potential effects that may rapidly change a client's well-being&lt;br /&gt;
&lt;br /&gt;&lt;br /&gt;For More Information&lt;br /&gt;
&lt;br /&gt;(910) 410-1700</t>
  </si>
  <si>
    <t>medication_aide_website.png</t>
  </si>
  <si>
    <t>45400</t>
  </si>
  <si>
    <t>Medical Assisting </t>
  </si>
  <si>
    <t>&lt;!-- Medical Assisting --&gt;
  &lt;iframe onload="initializeScripts('program-widget-680ed9', 'https://widget.lightcastcc.com')" id="program-widget-680ed9"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66&amp;visitButtonColor=%238E1F32&amp;headingText=Our%20students%20can%20go%20into%20these%20careers%3A"&gt;&lt;/iframe&gt;&lt;script type="text/javascript" src="https://widget.lightcastcc.com/scripts.js"&gt;&lt;/script&gt;</t>
  </si>
  <si>
    <t>&lt;b&gt;&lt;i&gt;EFFECTIVE 2024 FALL:  THIS PROGRAM IS IN TEACH-OUT STATUS.&lt;br /&gt;
NO NEW STUDENTS WILL BE ENROLLED AFTER 2024 FALL.&lt;br /&gt;
CURRENT STUDENTS MUST COMPLETE THE PROGRAM BY 2026 SUMMER.&lt;/i&gt;&lt;/b&gt;&lt;br /&gt;
&lt;br /&gt;
The Medical Assisting curriculum prepares multi-skilled health care professionals qualified to perform administrative, clinical and laboratory procedures.&lt;br /&gt;
&lt;br /&gt;
Course work includes instruction in scheduling appointments, coding, and processing insurance accounts, billing, collections, computer operations, assisting with examinations/treatments, performing routine laboratory procedures, electrocardiography, supervised medication administration; and the ethical/legal issues associated with patient care.&lt;br /&gt;
&lt;br /&gt;
Graduates of CAAHEP-accredited medical assisting programs may be eligible to sit for the American Association of Medical Assistants’ Certification Examination to become Certified Medical Assistants. Employment opportunities include physicians’ offices, health maintenance organizations, health departments and hospitals.</t>
  </si>
  <si>
    <t>Medical Assisting_1_website.jpg</t>
  </si>
  <si>
    <t xml:space="preserve">Medical Assisting </t>
  </si>
  <si>
    <t>A medical assistant is a healthcare professional who provides administrative and clinical support to physicians and other healthcare staff in various healthcare settings, including clinics, hospitals and doctor's offices. &lt;br /&gt;
&lt;br /&gt;
Richmond Community College offers a Medical Assisting program comprised of two phases that are completed over the course of two semesters. During the second phase, students receive five weeks of work experience in clinical settings. In order to start phase two, students must successfully complete required courses.&lt;br /&gt;
&lt;br /&gt;
Phase 1 - Class Details &amp; Cost&lt;br /&gt;
&lt;br /&gt;
TBD&lt;br /&gt;
&lt;br /&gt;
Phase 2 - Class Details &amp; Cost&lt;br /&gt;
&lt;br /&gt;
Oct. 15 - May 13, 2026 | Monday and Tuesday from 8:25 a.m. to 2:30 p.m. and Wednesday from 8:25 a.m. to 12:05 p.m. | Grimsley Building, room 236, Hamlet Campus | Tuition for this class is $180; fees are $438.&lt;br /&gt;
&lt;br /&gt;
March 16, 2026 - April 23, 2026: Clinicals run Monday through Thursday from 8 a.m. to 5 p.m.&lt;br /&gt;
&lt;br /&gt;
Prerequisites for Enrollment&lt;br /&gt;
&lt;br /&gt;
Completed registration form&lt;br /&gt;
&lt;br /&gt;
High school diploma or equivalent transcript (with expected graduation date or completion date)&lt;br /&gt;
&lt;br /&gt;
Accuplacer Next Generation Reading and Math test of 250 or higher OR transcript showing successful completion of college level English and Math class&lt;br /&gt;
&lt;br /&gt;
All official transcripts, if applicable&lt;br /&gt;
&lt;br /&gt;
For More Information&lt;br /&gt;
&lt;br /&gt;
Renea Craven, Medical Assisting Program Coordinator
arcraven1239@richmondcc.edu | (910) 410-1888&lt;br /&gt;
&lt;br /&gt;
Crystal Greene, Medical Assisting Instructor
chgreene@richmondcc.edu | (910) 410-1890&lt;br /&gt;
&lt;br /&gt;</t>
  </si>
  <si>
    <t>Medical_Assisting_2_website.jpg</t>
  </si>
  <si>
    <t>45360</t>
  </si>
  <si>
    <t>Medical Coding &amp; Billing Specialist</t>
  </si>
  <si>
    <t>&lt;!-- Medical Coding &amp; Billing Specialist --&gt;
  &lt;iframe onload="initializeScripts('program-widget-c0a2f3', 'https://widget.lightcastcc.com')" id="program-widget-c0a2f3"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128&amp;visitButtonColor=%238E1F32&amp;headingText=Our%20students%20can%20go%20into%20these%20careers%3A"&gt;&lt;/iframe&gt;&lt;script type="text/javascript" src="https://widget.lightcastcc.com/scripts.js"&gt;&lt;/script&gt;</t>
  </si>
  <si>
    <t>&lt;b&gt;EFFECTIVE 2023 FALL:
THIS PROGRAM IS IN TEACH-OUT STATUS. NO NEW STUDENTS WILL BE ENROLLED. CURRENT STUDENTS MUST COMPLETE THE PROGRAM BY 2024 SPRING. THE LAST SEMESTER THESE CLASSES WILL BE OFFERED WILL BE 2024 SPRING.&lt;/b&gt;
Richmond Community College offers Health Information Technology (HIT) under a Cooperative Agreement with Pitt Community College (PCC). Students can start at RichmondCC towards earning their HIT degree. However, the actual degree will be awarded by PCC. The PCC HIT Program is accredited by the Commission on Accreditation for Health Informatics &amp; Information Management Education (CAHIIM), 233 N. Michigan Avenue, 21st Floor, Chicago, Ill 60601-5800. Email:  info@cahiim.org. RichmondCC provides students the opportunity to complete up to 33 credit hours at RichmondCC to be used toward completion of the 74-hour Associate in Applied Science in the Pitt Community College Heath Information Technology program. All classes taken at PCC can be completed online. Graduates of this program may be eligible to write the national certification examination to become a Registered Health Information Technician (RHIT).
The Health Information Technology Curriculum is designed to provide individuals with the technical knowledge and skills to process, analyze, maintain, and report health information data in compliance with legal, accreditation, licensure and certification standards.
Course work includes diagnosis and procedure coding/classification systems, privacy and security strategies, health informatics, data analytics and use, revenue cycle management, regulatory compliance, and organizational leadership.
Graduates of this program may be eligible to write the national certification exam to become a Registered Health Information Technician (RHIT). Employment opportunities include hospitals, rehabilitation facilities, nursing homes, health insurance organizations, outpatient clinics, physicians’ offices, hospice, and mental health facilities.</t>
  </si>
  <si>
    <t>medical-billing-coding_website.png</t>
  </si>
  <si>
    <t>Medical Billing &amp; Coding</t>
  </si>
  <si>
    <t xml:space="preserve">A medical billing and coding specialist helps a healthcare facility manage insurance claims, invoices and payments. The day-to-day work of a medical coding and billing specialist includes properly coding services, procedures, diagnoses and treatments and also preparing and sending invoices or claims for payment. Students must have proof of high school diploma or GED equivalence.&lt;br /&gt;
&lt;br /&gt;
Class Details &amp; Cost&lt;br /&gt;
&lt;br /&gt;
TBA&lt;br /&gt;
&lt;br /&gt;
If you are a self-pay student, contact us about scholarships.&lt;br /&gt;
&lt;br /&gt;
About the Exam&lt;br /&gt;
&lt;br /&gt;
This course will prepare students to sit for the Medical Billing &amp; Coding Certification exam and earn the credentials offered through the National Healthcareer Association.&lt;br /&gt;
&lt;br /&gt;
For More Information&lt;br /&gt;
&lt;br /&gt;
Call Student Services at (910) 410-1700.
</t>
  </si>
  <si>
    <t>Medical Office Administration Assistant</t>
  </si>
  <si>
    <t>&lt;!-- Medical Office Administrative Assistant --&gt;
  &lt;iframe onload="initializeScripts('program-widget-9f1a79', 'https://widget.lightcastcc.com')" id="program-widget-9f1a79"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178&amp;visitButtonColor=%238E1F32&amp;headingText=Our%20students%20can%20go%20into%20these%20careers%3A"&gt;&lt;/iframe&gt;&lt;script type="text/javascript" src="https://widget.lightcastcc.com/scripts.js"&gt;&lt;/script&gt;</t>
  </si>
  <si>
    <t>In the growing business of healthcare, qualified medical administrative assistants are in high demand in clinics, hospitals, insurance companies, dental offices, private provider clinics, as well as county and government offices. Healthcare professionals rely on skilled administrative assistants for the financial health of their business. Start your new career with this 4-month class. Students must have proof of high school diploma or high school equivalent.&lt;br /&gt;
&lt;br /&gt;
Upcoming Class: TBD&lt;br /&gt;
&lt;br /&gt;
About the Exam&lt;br /&gt;
&lt;br /&gt;
This course will prepare students to sit for the National HealthCareer Association (NHA), Certified Medical Administrative Assistant (CMAA) Certification exam.&lt;br /&gt;
&lt;br /&gt;
Scholarship Funds Available!&lt;br /&gt;
&lt;br /&gt;
The 2nd Chance Scholarship will fully offset the cost of the national exam for any student who successfully completes the class.&lt;br /&gt;
&lt;br /&gt;
Course Topics&lt;br /&gt;
&lt;br /&gt;
Scheduling&lt;br /&gt;
&lt;br /&gt;
Patient Intake&lt;br /&gt;
&lt;br /&gt;
Office Logistics&lt;br /&gt;
&lt;br /&gt;
Compliance&lt;br /&gt;
&lt;br /&gt;
Patient Education&lt;br /&gt;
&lt;br /&gt;
Career Exploration and Job Search Strategies&lt;br /&gt;
&lt;br /&gt;For More Information&lt;br /&gt;
&lt;br /&gt;(910) 410-1700</t>
  </si>
  <si>
    <t>Medical_Office_Admin.jpg</t>
  </si>
  <si>
    <t>NCCER Carpentry </t>
  </si>
  <si>
    <t>NCCER Carpentry Course - Earn Your Certification
The course provides instruction related to the core skills used by carpenters in residential and commercial settings.
Class Date: TBA
Course Topics
Safety, hand/power tool use, site preparation, measurement and layout, footings and foundations and construction framing. Upon completion of the course, students will be able to construct, erect, install and repair structures and fixtures made of wood such as concrete forms and building frameworks, including partitions, joists, studding and rafters, wood stairways, window and door frames and hardwood floors.
What does it mean to be nationally certified?
GET A JOB ANYWHERE: Your portable credentials are recognized nationwide.
BECOME A CRAFT PROFESSIONAL: Receive transcripts, certificates and wallet cards for successfully completing the NCCER curriculum.
INCREASE YOUR WAGES: Your credentials are tracked through NCCER’s National Registry, allowing companies to verify your qualifications.</t>
  </si>
  <si>
    <t>Carpentry.jpg</t>
  </si>
  <si>
    <t>NCCER Core &amp; Electrical Level 1,2,3 &amp; 4 </t>
  </si>
  <si>
    <t>&lt;!-- NCCER Electrical Classes --&gt;
  &lt;iframe onload="initializeScripts('program-widget-a28b36', 'https://widget.lightcastcc.com')" id="program-widget-a28b36"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163&amp;visitButtonColor=%238E1F32&amp;headingText=Our%20students%20can%20go%20into%20these%20careers%3A"&gt;&lt;/iframe&gt;&lt;script type="text/javascript" src="https://widget.lightcastcc.com/scripts.js"&gt;&lt;/script&gt;</t>
  </si>
  <si>
    <t>Building upon knowledge and skills gained in each NCCER electrical class, you will learn more about the electrical trade and gain national credentials that employers are looking for in their workforce.&lt;br /&gt;
&lt;br /&gt;
NCCER Core &amp; Electrical Level 1&lt;br /&gt;
&lt;br /&gt;
Next Class Dates: TBA&lt;br /&gt;
&lt;br /&gt;
NCCER Electrical Level 2&lt;br /&gt;
&lt;br /&gt;
Next Class Dates: TBA&lt;br /&gt;
&lt;br /&gt;
NCCER Electrical Level 3&lt;br /&gt;
&lt;br /&gt;
Next Class Dates: TBA&lt;br /&gt;
&lt;br /&gt;
NCCER Electrical Level 4&lt;br /&gt;
&lt;br /&gt;
Next Class Dates: TBA&lt;br /&gt;
&lt;br /&gt;
Course Topics&lt;br /&gt;
&lt;br /&gt;
Alternating Current, Motors, Theory and Application, Electric Lighting, Conduit Bending, Pull and Junction Boxes, Conductor Installations, Cable Tray, Conductor Terminations and Splices, Grounding and Bonding, Circuit Breakers and Fuses, Control Systems and Fundamental Concepts&lt;br /&gt;
&lt;br /&gt;For More Information&lt;br /&gt;
&lt;br /&gt;Call (910) 410-1700.</t>
  </si>
  <si>
    <t>nccer_electrical_core_website.png</t>
  </si>
  <si>
    <t>NCCER HVAC Level 1, 2 &amp; 3</t>
  </si>
  <si>
    <t>&lt;!-- NCCER HVAC Classes --&gt;
  &lt;iframe onload="initializeScripts('program-widget-88e4e6', 'https://widget.lightcastcc.com')" id="program-widget-88e4e6"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179&amp;visitButtonColor=%238E1F32&amp;headingText=Our%20students%20can%20go%20into%20these%20careers%3A"&gt;&lt;/iframe&gt;&lt;script type="text/javascript" src="https://widget.lightcastcc.com/scripts.js"&gt;&lt;/script&gt;</t>
  </si>
  <si>
    <t>NCCER HVAC Level 1&lt;br /&gt;
&lt;br /&gt;In this class, students will get hands-on training and industry recognized stackable credentials. Upon completion students will have earned an NCCER Core Certification, an NCCER HVAC Level 1 Certification and an EPA 608 Certification. Students will also build a resume, develop interview skills and explore careers.&lt;br /&gt;
&lt;br /&gt;
Class Details &amp; Cost&lt;br /&gt;
&lt;br /&gt;
Jan. 27, 2026 - June 16, 2026 | | Tuesdays from 5:30 to 9:30 p.m. and Saturdays from 8 a.m. to 3 p.m.| Honeycutt Center, room 134, Scotland County Campus | Tuition for this course is $180&lt;br /&gt;
&lt;br /&gt;
NCCER HVAC Level 2&lt;br /&gt;
&lt;br /&gt;
Continue advancing your NCCER credentials in this HVAC Level 2 course. Topics include hardware and wiring terminations, control circuit and motor troubleshooting, troubleshooting cooling, troubleshooting heat pumps, troubleshooting gas heating, troubleshooting oil heating, troubleshooting accessories, zoning, ductless, and variable refrigerant flow systems, commercial hydronic systems, steam systems, retail refrigeration systems, and customer relations.&lt;br /&gt;
&lt;br /&gt;TBA&lt;br /&gt;
&lt;br /&gt;
NCCER HVAC Level 3&lt;br /&gt;
&lt;br /&gt;A continuation of levels 1 and 2, the HVAC Level 3 course prepares students for a career as skilled heating, air conditioning and refrigeration mechanics and installers. &lt;br /&gt;
&lt;br /&gt;Topics include:&lt;br /&gt;
&lt;br /&gt;Fasteners, hardware, and wiring terminations&lt;br /&gt;
&lt;br /&gt;Control circuit and motor troubleshooting&lt;br /&gt;
&lt;br /&gt;
Troubleshooting cooling, heat pumps, gas heating, oil&lt;br /&gt;
&lt;br /&gt; heating and accessories&lt;br /&gt;
&lt;br /&gt;
Zoning, ductless, and variable refrigerant flow systems&lt;br /&gt;
&lt;br /&gt;
Commerical hydronic systems&lt;br /&gt;
&lt;br /&gt;
Steam systems&lt;br /&gt;
&lt;br /&gt;
Retail refrigeration system&lt;br /&gt;
&lt;br /&gt;
Customer relations&lt;br /&gt;
&lt;br /&gt;
Next Class: TBA&lt;br /&gt;For More Information&lt;br /&gt;
&lt;br /&gt;Call (910) 410-1700.</t>
  </si>
  <si>
    <t>hvac_nccer_ii_website.png</t>
  </si>
  <si>
    <t>NCCER Plumbing Level 1,2,3 &amp; 4 </t>
  </si>
  <si>
    <t>&lt;!-- NCCER Plumbing Classes --&gt;
  &lt;iframe onload="initializeScripts('program-widget-849cda', 'https://widget.lightcastcc.com')" id="program-widget-849cda"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164&amp;visitButtonColor=%238E1F32&amp;headingText=Our%20students%20can%20go%20into%20these%20careers%3A"&gt;&lt;/iframe&gt;&lt;script type="text/javascript" src="https://widget.lightcastcc.com/scripts.js"&gt;&lt;/script&gt;</t>
  </si>
  <si>
    <t>NCCER Plumbing Level 1&lt;br /&gt;
&lt;br /&gt;
Class Details &amp; Cost&lt;br /&gt;
&lt;br /&gt;
Sept. 2, 2025 - May 30, 2026 | Tuesdays from 5:30 to 9:30 p.m. plus one Saturday a month from 8 a.m. to 5 p.m. | Honeycutt Center, room 137, Scotland County Campus | Tuition for this class is $180; fees are $220.&lt;br /&gt;
&lt;br /&gt;
This course will provide an introduction to plumbing practices. Students will learn identification and use of the tools of the trade. Upon successful completion, students will be able to utilize basic skills needed to identify a plumbing problem and identify a solution. Students will demonstrate safety practices and identify the components and functions of a water distribution system.&lt;br /&gt;
&lt;br /&gt;
Course Topics&lt;br /&gt;
&lt;br /&gt;
Overview of fixtures and faucets&lt;br /&gt;
&lt;br /&gt;
Working with different pipe types (plastic, steel, copper, and cast iron)&lt;br /&gt;
&lt;br /&gt;
Identification and application of drain/waste/vent fittings
Isometric drawings&lt;br /&gt;
&lt;br /&gt;
NCCER Plumbing Level 2&lt;br /&gt;
&lt;br /&gt;
Building on Level 1, the Level 2 course includes instruction on reading commercial drawings, installing plumbing appliances and more.&lt;br /&gt;
&lt;br /&gt;
Class Details &amp; Cost: TBA&lt;br /&gt;
&lt;br /&gt;
Course Topics &lt;br /&gt;
&lt;br /&gt;
Reading commercial drawings&lt;br /&gt;
&lt;br /&gt;
Structural penetrations&lt;br /&gt;
&lt;br /&gt;
Insulating and firestopping&lt;br /&gt;
&lt;br /&gt;
Installing and testing DWV piping&lt;br /&gt;
&lt;br /&gt;
Installing roof, floor and area dragins&lt;br /&gt;
&lt;br /&gt;
Installing and testing water supply piping&lt;br /&gt;
&lt;br /&gt;
Types of and installing valves&lt;br /&gt;
&lt;br /&gt;
Installing water heaters&lt;br /&gt;
&lt;br /&gt;
Fuel gas and fuel oil systems&lt;br /&gt;
&lt;br /&gt;
Plumbing Level 3&lt;br /&gt;
&lt;br /&gt;
Level 3 builds on skills from the first two levels, focusing on applied math, the water supply system, venting, pumps, service plumbing and more. This class is the third installment of NCCER's four-part plumbing program. The series trains future plumbers in installing, repairing and maintaining pipe systems.&lt;br /&gt;
&lt;br /&gt;
Class Details &amp; Cost: Sept. 4 - March 19, 2026 | Thursdays from 5:30 to 9:30 p.m. and Saturdays from 8 a.m. to 5 p.m. | Scotland High School | Tuition for this class is $180; fees are $170.&lt;br /&gt;
&lt;br /&gt;
Course Topics&lt;br /&gt;
&lt;br /&gt;
Applied Math&lt;br /&gt;
&lt;br /&gt;
Sizing and Protecting the Water Supply System&lt;br /&gt;
&lt;br /&gt;
Potable Water Supply Treatment&lt;br /&gt;
&lt;br /&gt;
Types of Venting&lt;br /&gt;
&lt;br /&gt;
Sizing DWV and Storm Systems&lt;br /&gt;
&lt;br /&gt;
Sewage Pumps and Sump Pumps&lt;br /&gt;
&lt;br /&gt;
Corrosive-Resistant Waste Piping&lt;br /&gt;
&lt;br /&gt;
Compressed Air&lt;br /&gt;
&lt;br /&gt;
Service Plumbing&lt;br /&gt;
&lt;br /&gt;
NCCER Plumbing Level 4&lt;br /&gt;
&lt;br /&gt;
The is the final level of NCCER Plumbing. Upon completion, students are prepared for a career as a skilled plumber. Covered topics include:&lt;br /&gt;
&lt;br /&gt;
Fundamentals of crew leadership&lt;br /&gt;
&lt;br /&gt;
Water pressure booster and recirculation systems&lt;br /&gt;
&lt;br /&gt;
Indirect and special waste&lt;br /&gt;
&lt;br /&gt;
Hydronic and solar heating systems&lt;br /&gt;
&lt;br /&gt;
Codes&lt;br /&gt;
&lt;br /&gt;
Private water supply well systems&lt;br /&gt;
&lt;br /&gt;
Private waste-disposal systems&lt;br /&gt;
&lt;br /&gt;
Swimming pools and hot tubs&lt;br /&gt;
&lt;br /&gt;
Plumbing for mobile homes and travel trailer parks&lt;br /&gt;
&lt;br /&gt;
Introduction to medical gas and vacuum systems&lt;br /&gt;
&lt;br /&gt;
Class Details &amp; Cost: TBA&lt;br /&gt;For More Information&lt;br /&gt;
&lt;br /&gt;Call (910) 410-1700.</t>
  </si>
  <si>
    <t>nccer_plumbing_website.png</t>
  </si>
  <si>
    <t>Notary Public</t>
  </si>
  <si>
    <t>&lt;!-- Notary Public --&gt;
  &lt;iframe onload="initializeScripts('program-widget-f3fe3b', 'https://widget.lightcastcc.com')" id="program-widget-f3fe3b"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97&amp;visitButtonColor=%238E1F32&amp;headingText=Our%20students%20can%20go%20into%20these%20careers%3A"&gt;&lt;/iframe&gt;&lt;script type="text/javascript" src="https://widget.lightcastcc.com/scripts.js"&gt;&lt;/script&gt;</t>
  </si>
  <si>
    <t>This one-day course provides instruction to those who want to become commissioned as a notary public. Notary PublicTopics include legal, ethical, and procedural requirements of the Notary Act as described in General Statute 10B Article 1. Upon completion of this course with a passing exam grade of 80 percent, a person is eligible to apply with the N.C. Secretary of State Office. Courses are offered monthly.&lt;br /&gt;
&lt;br /&gt;
Upcoming Classes&lt;br /&gt;
&lt;br /&gt;
Sept. 29 from 9 a.m. to 5:30 p.m. | Scotland County Campus, Honeycutt 130&lt;br /&gt;
&lt;br /&gt;
Oct. 4 from 9 a.m. to 5:30 p.m. | Hamlet  Campus, Lee Building, room 15&lt;br /&gt;
&lt;br /&gt;
Nov. 11 from 9 a.m. to 5:30 p.m. | Scotlant County Campus, Honeycutt 130&lt;br /&gt;
&lt;br /&gt;
Dec. 6 from 9 p.m. to 5:30 p.m. | Scotland County Campus, Honeycutt 130&lt;br /&gt;
&lt;br /&gt;
Cost: $70&lt;br /&gt;
&lt;br /&gt;
*Fee does not include book. Book must be purchased prior to class from the RichmondCC Bookstore. Call the bookstore at (910) 410-1851 for book purchasing information.&lt;br /&gt;
&lt;br /&gt;
Qualifications&lt;br /&gt;
&lt;br /&gt; 
Qualifications to become a North Carolina Notary Public pursuant to the Notary Acts as described in General Statute 10B Article 1:&lt;br /&gt;
&lt;br /&gt;
A person qualified for a notarial commission shall meet all of the following requirements:&lt;br /&gt;
&lt;br /&gt;
Be at least 18 years of age or legally emancipated as defined in Article 35 of Chapter 7B of the General Statutes.&lt;br /&gt;
&lt;br /&gt;
Reside or have a regular place of work or business in this State.&lt;br /&gt;
&lt;br /&gt;
Reside legally in the United States.&lt;br /&gt;
&lt;br /&gt;
Speak, read, and write the English language.&lt;br /&gt;
&lt;br /&gt;
Possess a high school diploma or equivalent.&lt;br /&gt;
&lt;br /&gt;
Pass the course of instruction on described in this Article, unless the person is a licensed member of the North Carolina State Bar.&lt;br /&gt;
&lt;br /&gt;
Purchase and keep as a reference the most recent manual approved by the Secretary that describes the duties and authority of notaries public.&lt;br /&gt;
&lt;br /&gt;
Submit an application containing no significant misstatement or omission of fact. The application form shall be provided by the Secretary and be available at the register of deeds office in each county. Every application on shall include the signature of the applicant written with pen and ink, and the signature shall be acknowledged by the applicant before a person authorized to administer oaths.&lt;br /&gt; For More Information.&lt;br /&gt;
&lt;br /&gt; Call (910) 410-1700.</t>
  </si>
  <si>
    <t>notary_public_website.png</t>
  </si>
  <si>
    <t>Nursing Assistant I</t>
  </si>
  <si>
    <t>&lt;!-- Therapeutic &amp; Diagnostic Services: Nurse Aide --&gt;
  &lt;iframe onload="initializeScripts('program-widget-528b8b', 'https://widget.lightcastcc.com')" id="program-widget-528b8b"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83&amp;visitButtonColor=%238E1F32&amp;headingText=Our%20students%20can%20go%20into%20these%20careers%3A"&gt;&lt;/iframe&gt;&lt;script type="text/javascript" src="https://widget.lightcastcc.com/scripts.js"&gt;&lt;/script&gt;</t>
  </si>
  <si>
    <t>This is a 166-172 contact hour course offered in a traditional classroom setting. This training program, which includes day or evening class options, will prepare you to successfully complete a state of North Carolina approved competency evaluation examination that allows the nurse aide to be listed on the N.C. Nurse Aide I Registry. The course includes instructor lectures, videos, role playing methods and hands-on learning. Upon successful completion of the course, you will be able to take the state exam through Credentia for listing and certification with the state of North Carolina. Pre-registration Required!&lt;br /&gt;
&lt;br /&gt;
Fall 2025 Classes&lt;br /&gt;
&lt;br /&gt;
Scotland County Campus&lt;br /&gt;
&lt;br /&gt;
Oct. 16 - Feb. 12 | Tuesday and Thursday from 8:20 a.m. to 2:40 p.m. | Honeycutt Center, room 125, PLUS ONLINE ASSIGNMENTS | Tuition for this class is $180; fees for this class are $270.&lt;br /&gt;
&lt;br /&gt;
(If you are a self-pay student, contact us about scholarships.)&lt;br /&gt;
&lt;br /&gt;
Spring 2026 Classes&lt;br /&gt;
&lt;br /&gt;
Jan. 9 - April 28 | from 8:15 to 11 a.m.  | Tuition for this class is $180; fees for this class are $270.&lt;br /&gt;
&lt;br /&gt;
(If you are a self-pay student, contact us about scholarships.)&lt;br /&gt;
&lt;br /&gt;
Requirements for Registration&lt;br /&gt;
&lt;br /&gt;Accuplacer Next Generation Reading score of 250 or higher.&lt;br /&gt;
&lt;br /&gt; A transcript showing successful completion of a college level English course is a substitute for the test score.&lt;br /&gt;
&lt;br /&gt;Valid U.S. government issued Social Security Card
Valid driver’s license or state issued picture ID&lt;br /&gt;
&lt;br /&gt;Current immunization record&lt;br /&gt;
&lt;br /&gt;Current completed physical&lt;br /&gt;
&lt;br /&gt;Current TB skin result&lt;br /&gt;For More Information&lt;br /&gt;
&lt;br /&gt;Call (910) 410-1700.</t>
  </si>
  <si>
    <t>pre_nursing_website.png</t>
  </si>
  <si>
    <t>Nursing Assistant II</t>
  </si>
  <si>
    <t>This Nursing Assistant II class is a 195-hour course offered in a traditional classroom setting. Students must be currently registered with the Division of Health Service Regulation (DSHR) Nurse Aide Registry. Students will learn advanced skill care and will be eligible to be listed on the North Carolina Board of Nursing Nurse Aide II Registry upon successful completion of the course.&lt;br /&gt;
&lt;br /&gt;
Topics Include:&lt;br /&gt;
&lt;br /&gt;
Oxygen Therapy&lt;br /&gt;
&lt;br /&gt;
Suctioning&lt;br /&gt;
&lt;br /&gt;
Sterile Dressing Changes&lt;br /&gt;
&lt;br /&gt;
IV Fluid Assistive Activities&lt;br /&gt;
&lt;br /&gt;
Ostomy Care&lt;br /&gt;
&lt;br /&gt;
Gastrostomy/Nasogastric Feedings&lt;br /&gt;
&lt;br /&gt;
Urinary Catheterizations&lt;br /&gt;
&lt;br /&gt;
Tracheostomy care&lt;br /&gt;
&lt;br /&gt;
Students must successfully complete the course, all skills test and pay $24 to be eligible to be listed on the Nurse Aide II Registry.&lt;br /&gt;
&lt;br /&gt;
2026 Classes&lt;br /&gt;
&lt;br /&gt;
Feb. 17 - May 11 | Mondays through Thursdays from 8:20 a.m. to 3:10 p.m. | Honeycutt Center, room 125, Scotland County Campus | Tuition for this class is $180; fees for this class are $350.&lt;br /&gt;
&lt;br /&gt;
If you are a self-pay student, contact us about scholarships&lt;br /&gt;
&lt;br /&gt;
Registration Requirements&lt;br /&gt;
&lt;br /&gt;Valid driver’s license or a state issued picture ID&lt;br /&gt;
&lt;br /&gt;Valid Social Security card&lt;br /&gt;
&lt;br /&gt;High school diploma or equivalent&lt;br /&gt;
&lt;br /&gt;Immunization records&lt;br /&gt;
&lt;br /&gt;Current Physical&lt;br /&gt;
&lt;br /&gt;Current TB results&lt;br /&gt;
&lt;br /&gt;Copy of current NAI certification&lt;br /&gt;For More Information&lt;br /&gt;
&lt;br /&gt;Call (910) 410-1700.</t>
  </si>
  <si>
    <t>CNA_2_website.jpg</t>
  </si>
  <si>
    <t>Nursing Assistant Refresher Course </t>
  </si>
  <si>
    <t>&lt;!-- Nursing Assistant Refresher Course --&gt;
  &lt;iframe onload="initializeScripts('program-widget-49b94c', 'https://widget.lightcastcc.com')" id="program-widget-49b94c"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130&amp;visitButtonColor=%238E1F32&amp;headingText=Our%20students%20can%20go%20into%20these%20careers%3A"&gt;&lt;/iframe&gt;&lt;script type="text/javascript" src="https://widget.lightcastcc.com/scripts.js"&gt;&lt;/script&gt;</t>
  </si>
  <si>
    <t>This course is designed to allow nurse aides who have let their certification with the state registry expire regain their certification in order to work as a certified nurse aide in North Carolina. Upon completion of the required hours, the student will have reviewed basic nursing skills, personal care skills, mental health and social service needs, care of cognitively impaired residents, restorative services and resident rights. They will possess the theoretical knowledge necessary to pass the written/oral examination and be able to demonstrate proficiency in nursing assistant skills.&lt;br /&gt;
&lt;br /&gt;
Class Details &amp; Cost&lt;br /&gt;
&lt;br /&gt;
TBD&lt;br /&gt;
&lt;br /&gt;
State Certification Exam Fee: $140&lt;br /&gt;
&lt;br /&gt;
Who Is Qualified to Take This Course? &lt;br /&gt;
&lt;br /&gt;
Nursing Assistants who were listed on the North Carolina Division of Health Service Regulation (DHSR) NA-I Registry, but let this certification lapse in the past two years.  &lt;br /&gt;
&lt;br /&gt;
Nursing Assistants who are registered as a Nurse Aide I in another state and seek employment as a Nursing Aide I in North Carolina.&lt;br /&gt;
&lt;br /&gt;
Others who hold a current state recognized healthcare credential from any state (EMT, EMT-P, etc.).&lt;br /&gt;
&lt;br /&gt;
Any military personnel who have had medical/corpsman training. (Must present DD-214)&lt;br /&gt;
&lt;br /&gt;&lt;br /&gt;
&lt;br /&gt;
Valid driver's license or state issued pictue ID&lt;br /&gt;
&lt;br /&gt;
Valid Social Security card&lt;br /&gt;
&lt;br /&gt;
Proof of expired certification from North Carolina Board of Nursing less than 2 years old&lt;br /&gt;
&lt;br /&gt;
Students are responsible for presenting transcripts and all required paperwork during registration.&lt;br /&gt;For More Information&lt;br /&gt;
&lt;br /&gt;Call (910) 410-1700.</t>
  </si>
  <si>
    <t>Nursing_assistant_refresher_website.png</t>
  </si>
  <si>
    <t>25370</t>
  </si>
  <si>
    <t>Office Administration</t>
  </si>
  <si>
    <t>Topics Include:</t>
  </si>
  <si>
    <t>Office_administration_website.png</t>
  </si>
  <si>
    <t>Online Executive Management Program for Law Enforcement Level 1 &amp; 2 </t>
  </si>
  <si>
    <t>&lt;!-- Law Enforcement Officer Training --&gt;
  &lt;iframe onload="initializeScripts('program-widget-dbc3b1', 'https://widget.lightcastcc.com')" id="program-widget-dbc3b1"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195&amp;visitButtonColor=%238E1F32&amp;headingText=Our%20students%20can%20go%20into%20these%20careers%3A"&gt;&lt;/iframe&gt;&lt;script type="text/javascript" src="https://widget.lightcastcc.com/scripts.js"&gt;&lt;/script&gt;</t>
  </si>
  <si>
    <t>Police_Management_2.jpg</t>
  </si>
  <si>
    <t>OSHA 10 for Industry </t>
  </si>
  <si>
    <t>&lt;!-- OSHA 10 for Industry --&gt;
  &lt;iframe onload="initializeScripts('program-widget-039527', 'https://widget.lightcastcc.com')" id="program-widget-039527"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165&amp;visitButtonColor=%238E1F32&amp;headingText=Our%20students%20can%20go%20into%20these%20careers%3A"&gt;&lt;/iframe&gt;&lt;script type="text/javascript" src="https://widget.lightcastcc.com/scripts.js"&gt;&lt;/script&gt;</t>
  </si>
  <si>
    <t>This course provides training for entry-level workers and employers on recognizing, avoiding, and preventing safety and health hazards in the workplace. This program also provides information regarding workers' rights and employer responsibilities and how to file a complaint. Through this training, OSHA helps to ensure that workers are more knowledgeable about workplace hazards and their rights.&lt;br /&gt;
&lt;br /&gt;
Class Details &amp; Cost&lt;br /&gt;
&lt;br /&gt;
Tuesday, Sept 9, and Thursday, Sept. 11 | 8 a.m. to 3 p.m. | Forte Building, room 328, Hamlet Campus | Tuition for this class is $70; fees are $10.&lt;br /&gt;
&lt;br /&gt;
To Sign Up&lt;br /&gt;
&lt;br /&gt;
Complete the registration form and bring to the Hamlet or Scotland County Campus. For more information, call Student Services at (910) 410-1700.&lt;br /&gt;For More Information&lt;br /&gt;
&lt;br /&gt;Call (910) 410-1700.</t>
  </si>
  <si>
    <t>OSHA.jpg</t>
  </si>
  <si>
    <t>OSHA 30 for Construction </t>
  </si>
  <si>
    <t>$125 plus fees.</t>
  </si>
  <si>
    <t>&lt;!-- OSHA 30 Construction --&gt;
  &lt;iframe onload="initializeScripts('program-widget-30f38f', 'https://widget.lightcastcc.com')" id="program-widget-30f38f"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167&amp;visitButtonColor=%238E1F32&amp;headingText=Our%20students%20can%20go%20into%20these%20careers%3A"&gt;&lt;/iframe&gt;&lt;script type="text/javascript" src="https://widget.lightcastcc.com/scripts.js"&gt;&lt;/script&gt;</t>
  </si>
  <si>
    <t>OSHA_construction.jpg</t>
  </si>
  <si>
    <t>OSHA 30 for Industry  </t>
  </si>
  <si>
    <t>&lt;!-- OSHA 30 for Industry --&gt;
  &lt;iframe onload="initializeScripts('program-widget-8c906d', 'https://widget.lightcastcc.com')" id="program-widget-8c906d"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166&amp;visitButtonColor=%238E1F32&amp;headingText=Our%20students%20can%20go%20into%20these%20careers%3A"&gt;&lt;/iframe&gt;&lt;script type="text/javascript" src="https://widget.lightcastcc.com/scripts.js"&gt;&lt;/script&gt;</t>
  </si>
  <si>
    <t>Osha_30_Website.png</t>
  </si>
  <si>
    <t>Painting</t>
  </si>
  <si>
    <t>&lt;!-- Design with Wine Painting Class --&gt;
  &lt;iframe onload="initializeScripts('program-widget-8f964b', 'https://widget.lightcastcc.com')" id="program-widget-8f964b"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201&amp;visitButtonColor=%238E1F32&amp;headingText=Our%20students%20can%20go%20into%20these%20careers%3A"&gt;&lt;/iframe&gt;&lt;script type="text/javascript" src="https://widget.lightcastcc.com/scripts.js"&gt;&lt;/script&gt;</t>
  </si>
  <si>
    <t>painting_website.png</t>
  </si>
  <si>
    <t>Paramedic</t>
  </si>
  <si>
    <t>&lt;!-- Paramedic Training --&gt;
  &lt;iframe onload="initializeScripts('program-widget-76f94b', 'https://widget.lightcastcc.com')" id="program-widget-76f94b"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189&amp;visitButtonColor=%238E1F32&amp;headingText=Our%20students%20can%20go%20into%20these%20careers%3A"&gt;&lt;/iframe&gt;&lt;script type="text/javascript" src="https://widget.lightcastcc.com/scripts.js"&gt;&lt;/script&gt;</t>
  </si>
  <si>
    <t>The Paramedic certification course provides you with the knowledge, skills and attributes to provide advanced emergency medical care for critical and emergent patients, and prepares you to enter the workforce as a certified paramedic. This program meets the NCOEMS and National EMS Education Standards and AHA guidelines.&lt;br /&gt;
&lt;br /&gt;
Class Details &amp; Cost&lt;br /&gt;
&lt;br /&gt;
TBA&lt;br /&gt;
&lt;br /&gt;
Course Requirements&lt;br /&gt;
&lt;br /&gt;
NC Office of EMS requires all applicants to have: &lt;br /&gt;
&lt;br /&gt;
HS Diploma or Equivalent (Must be at least 17 on or before the official end date of the class)&lt;br /&gt;
&lt;br /&gt;
ENG 111 with a C or better OR Accuplacer Next Generation Reading with a score of 250 or higher&lt;br /&gt;
&lt;br /&gt;
Accuplacer Next Generation Quantitative Reasoning score of 250 or higher&lt;br /&gt;
&lt;br /&gt;
MAT 110 with C or better or Accuplacer Math with a score of 250 or higher&lt;br /&gt;
&lt;br /&gt;
BIO 163 with a B or better or BIO 168 &amp; 166 or BIO 168 &amp; 169 (SEE INFORMATION BELOW ON BIO 163)&lt;br /&gt;
&lt;br /&gt;
Valid state issued photo ID or Driver's License &lt;br /&gt;
&lt;br /&gt;
Copy of EMT card&lt;br /&gt;
&lt;br /&gt;
Must provide a copy of your immunization record (records need to be up to date)&lt;br /&gt;
&lt;br /&gt;
For More Information&lt;br /&gt;
&lt;br /&gt;
Call Student Services at (910) 410-1700.&lt;br /&gt;
&lt;br /&gt;
BIO 163 Class&lt;br /&gt;
&lt;br /&gt;
Do you need to complete BIO 163 for your EMT or Paramedic Certification? Call (910) 410-1700 to learn when this class is being offered.</t>
  </si>
  <si>
    <t>paramedic_website.png</t>
  </si>
  <si>
    <t>Paramedic Refresher </t>
  </si>
  <si>
    <t>&lt;!-- Paramedic NRP Refresher --&gt;
  &lt;iframe onload="initializeScripts('program-widget-85b317', 'https://widget.lightcastcc.com')" id="program-widget-85b317"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184&amp;visitButtonColor=%238E1F32&amp;headingText=Our%20students%20can%20go%20into%20these%20careers%3A"&gt;&lt;/iframe&gt;&lt;script type="text/javascript" src="https://widget.lightcastcc.com/scripts.js"&gt;&lt;/script&gt;</t>
  </si>
  <si>
    <t>This 31-hour refresher course meets all objectives required under the national requirements of the NRP renewal standards. No specialty courses are included in this fast paced course. There is a $30 NAEMT fee due to the CAHEP accreditation of this program. This affiliation with the NAEMT and the accreditation will allow you to import the course directly in to your NRP education profile and save you a great deal of time accounting for individual education objectives.&lt;br /&gt;
&lt;br /&gt;
Class Format&lt;br /&gt;
&lt;br /&gt;
Course days are scheduled to correspond to individual modules. As a result we have two short days and two long days in this program. In an effort to accommodate students working full-time shift schedules, we are offering this program on a flip/flop schedule. Students DO NOT need to select the same day each week. You can attend on the day each week that best suits your schedule.&lt;br /&gt;
&lt;br /&gt;
Class Details &amp; Cost:&lt;br /&gt;
&lt;br /&gt;
TBA&lt;br /&gt;
&lt;br /&gt;
Enrollment requirements&lt;br /&gt;
&lt;br /&gt;
To enroll, you must have a valid NC or NR Paramedic or AEMT credential. The class exceeds AEMT requirements by 10 hours.&lt;br /&gt;
&lt;br /&gt;
Course Curriculum&lt;br /&gt;
&lt;br /&gt;
The curriculum for the AEMT Refresher Educational program shall be the 2009, or most current release of the United States Department of Transportation (US DOT) National Highway Traffic Safety Administration and (NHTSA) National Education Standards. The Paramedic Refresher Educational program must be conducted by an approved Advanced Educational Institution as defined in the rules of the North Carolina Medical Care Commission. The lead instructor for the Paramedic Refresher Educational program must be a NC credentialed Level II EMS Instructor at the AEMT or Paramedic level as defined in the rules of the North Carolina Medical Care Commission.&lt;br /&gt;
&lt;br /&gt;For More Information&lt;br /&gt;
&lt;br /&gt;
Call Student Services at (910) 410-1700.&lt;br /&gt;
&lt;br /&gt;</t>
  </si>
  <si>
    <t>Pharmacy Technician</t>
  </si>
  <si>
    <t>&lt;!-- Pharmacy Technician I --&gt;
  &lt;iframe onload="initializeScripts('program-widget-a71a5b', 'https://widget.lightcastcc.com')" id="program-widget-a71a5b"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77&amp;visitButtonColor=%238E1F32&amp;headingText=Our%20students%20can%20go%20into%20these%20careers%3A"&gt;&lt;/iframe&gt;&lt;script type="text/javascript" src="https://widget.lightcastcc.com/scripts.js"&gt;&lt;/script&gt;</t>
  </si>
  <si>
    <t>This course provides students with the training and education required to pass the Pharmacy Technician Certification Board’s national exam to become a Certified Pharmacy Technician. This class is offered twice a year, once during the spring semester as an online class and once during the fall semester as a face-to-face evening class.&lt;br /&gt;
&lt;br /&gt;Class Details &amp; Cost&lt;br /&gt;
&lt;br /&gt;
TBA&lt;br /&gt;
&lt;br /&gt;
If you are a self-pay student, contact us about scholarships.&lt;br /&gt;
&lt;br /&gt;
Admission Requirements&lt;br /&gt;
&lt;br /&gt;
Have a high school diploma or GED/high school equivalency or are scheduled to earn a high school diploma or GED/high school equivalency in the next 60 days. (Official transcripts must be submitted.)&lt;br /&gt;
&lt;br /&gt;
Score of 250 on RichmondCC's Accuplacer OR have passed MAT-143 or higher. (Official transcripts must be submitted.)&lt;br /&gt;
&lt;br /&gt;Reliable Internet and computer access is required.&lt;br /&gt;
&lt;br /&gt;
Valid driver’s license or ID card with picture and Social Security card (signed and NOT laminated).&lt;br /&gt;
&lt;br /&gt;
Successfully complete registration application.&lt;br /&gt;
&lt;br /&gt;
Pharmacy Technician Certifications&lt;br /&gt;
&lt;br /&gt;
To acquire the national certification Certified Pharmacy Technician (CPhT), pharmacy technicians must successfully pass the Pharmacy Technician Certification Exam ($125) or the PTCB: Certified Pharmacy Technician Exam ($129).
The NC Board of Pharmacy requires pharmacy technicians to be registered as working in a pharmacy in N.C. to be state certified.&lt;br /&gt;
&lt;br /&gt;
Pharmacy technicians must complete continuing education units to maintain their CPhT certification status.&lt;br /&gt;
&lt;br /&gt;
The Pharmacy Technician Certification Board recognizes RichmondCC as a Certified Pharmacy Technician Training program.&lt;br /&gt;
&lt;br /&gt;
Pharmacy Management Software&lt;br /&gt;
&lt;br /&gt;
Our Pharmacy Technician program partners with PioneerRx Pharmacy Software. Because of that, students learn prescription data entry and supply management in a real-world environment using the most installed software for independent pharmacies. Students graduate with superior clinical and functional skills from training on a pharmacy system that is innovative, robust, and feature-rich. Read what current pharmacy leaders are saying about PioneerRx at Pharmacy Software Reviews.&lt;br /&gt;For More Information&lt;br /&gt;
&lt;br /&gt;
Call Student Services at (910) 410-1700.&lt;br /&gt;
&lt;br /&gt;</t>
  </si>
  <si>
    <t>Phlebotomy </t>
  </si>
  <si>
    <t>&lt;!-- Phlebotomy --&gt;
  &lt;iframe onload="initializeScripts('program-widget-56642e', 'https://widget.lightcastcc.com')" id="program-widget-56642e"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132&amp;visitButtonColor=%238E1F32&amp;headingText=Our%20students%20can%20go%20into%20these%20careers%3A"&gt;&lt;/iframe&gt;&lt;script type="text/javascript" src="https://widget.lightcastcc.com/scripts.js"&gt;&lt;/script&gt;</t>
  </si>
  <si>
    <t>Learn the skills necessary to draw blood specimens in healthcare settings and blood donation centers. Phlebotomists may assist in preparing specimens in the laboratory. They are employed by hospitals, doctor offices and labs. Course topics include venipuncture, specimen handling, record-keeping and the healthcare profession. Total course hours: 120&lt;br /&gt;
&lt;br /&gt;
Clinical hours will be scheduled during daytime hours as most blood draws are done during the day.&lt;br /&gt;
&lt;br /&gt;
Class Dates&lt;br /&gt;
&lt;br /&gt;
Oct. 17 - Feb. 13 | Monday, Wednesday and Friday from 8:30 a.m. to 12:45 p.m. | Honeycutt Center, room 125, Scotland County Campus&lt;br /&gt;
&lt;br /&gt;
Requirements for Registration&lt;br /&gt;
&lt;br /&gt;
High school diploma or high school equivalency diploma (GED or HiSET)&lt;br /&gt;
&lt;br /&gt;
Accuplacer Next Generation Reading score of 250 or higher OR Must have taken ENG 111 and earned a C or better.&lt;br /&gt;
&lt;br /&gt;
Valid U.S. government issued Social Security Card&lt;br /&gt;
&lt;br /&gt;
Valid driver’s license or state issued picture ID&lt;br /&gt;
&lt;br /&gt;
Current TB skin test, flu shot and immunization records
Physical (School form)&lt;br /&gt;
&lt;br /&gt;
You are required to present all documents and/or transcripts at registration.&lt;br /&gt;
&lt;br /&gt;
Course Costs&lt;br /&gt;
&lt;br /&gt;
Tuition, textbook, drug screen: $473 (If you are a self-pay student, contact us about scholarships!).&lt;br /&gt;For More Information&lt;br /&gt;
&lt;br /&gt;Call (910) 410-1700.</t>
  </si>
  <si>
    <t>phlebotomy_website.png</t>
  </si>
  <si>
    <t>Piano Lessons</t>
  </si>
  <si>
    <t>&lt;!-- Piano Lessons --&gt;
  &lt;iframe onload="initializeScripts('program-widget-b12c2c', 'https://widget.lightcastcc.com')" id="program-widget-b12c2c"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202&amp;visitButtonColor=%238E1F32&amp;headingText=Our%20students%20can%20go%20into%20these%20careers%3A"&gt;&lt;/iframe&gt;&lt;script type="text/javascript" src="https://widget.lightcastcc.com/scripts.js"&gt;&lt;/script&gt;</t>
  </si>
  <si>
    <t>Learn to play the piano in this 12-week class. Class is limited to 12 people.&lt;br /&gt;
&lt;br /&gt;
Class Details &amp; Cost&lt;br /&gt;
&lt;br /&gt;
Sept. 2 - Nov. 18 | Tuesdays from 6 to 8 p.m. | Lindsey-Petris Building, room 130, Hamlet Campus | Tuition is $70; fees are $20.&lt;br /&gt;For More Information&lt;br /&gt;
&lt;br /&gt;Call (910) 410-1700.</t>
  </si>
  <si>
    <t>piano_website.png</t>
  </si>
  <si>
    <t>Pilot (Escort Vehicle) Operator Certification </t>
  </si>
  <si>
    <t>&lt;!-- Pilot (Escort) Vehicle Operator Certification --&gt;
  &lt;iframe onload="initializeScripts('program-widget-55241b', 'https://widget.lightcastcc.com')" id="program-widget-55241b"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168&amp;visitButtonColor=%238E1F32&amp;headingText=Our%20students%20can%20go%20into%20these%20careers%3A"&gt;&lt;/iframe&gt;&lt;script type="text/javascript" src="https://widget.lightcastcc.com/scripts.js"&gt;&lt;/script&gt;</t>
  </si>
  <si>
    <t>This one-day course is designed to meet the training requirements set by the NC Department of Transportation to certify oversize-overweight load escort vehicle drivers, as required by G.S. 20-119 and detailed in 19A NCAC 02D.0644. Course components consist of defensive driving, escort driver requirements, skills training, and an exam.&lt;br /&gt;
&lt;br /&gt;
Upcoming Classes&lt;br /&gt;
&lt;br /&gt;
Friday, Oct. 24 | 8 a.m. to 5 p.m. | Grimsley Building, room 237, Hamlet Campus | Cost $70&lt;br /&gt;
&lt;br /&gt;
Course Requirements&lt;br /&gt;
&lt;br /&gt;
Must be at least 18 years of age.&lt;br /&gt;
&lt;br /&gt;
Must have a valid driver's license without restrictions other than for use of corrective lens and has a driving history without conviction of driving while impaired or reckless driving in the previous 12 months.&lt;br /&gt;
&lt;br /&gt;
Other State Requirements&lt;br /&gt;
&lt;br /&gt;
Students must complete the defensive driving course.
Successful completers of the class will also be asked to submit a certified driving record to NCDOT for official certification. Students with out-of-state licenses are required to get certified records from their state of residency, which show records of at least 3 years.&lt;br /&gt;For More Information&lt;br /&gt;
&lt;br /&gt;Call (910) 410-1700.</t>
  </si>
  <si>
    <t>Pilot_escort_vehicle_website.png</t>
  </si>
  <si>
    <t>45660</t>
  </si>
  <si>
    <t>Practical Nursing </t>
  </si>
  <si>
    <t>&lt;!-- Practical Nursing --&gt;
  &lt;iframe onload="initializeScripts('program-widget-9f2843', 'https://widget.lightcastcc.com')" id="program-widget-9f2843"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79&amp;visitButtonColor=%238E1F32&amp;headingText=Our%20students%20can%20go%20into%20these%20careers%3A"&gt;&lt;/iframe&gt;&lt;script type="text/javascript" src="https://widget.lightcastcc.com/scripts.js"&gt;&lt;/script&gt;</t>
  </si>
  <si>
    <t>The Practical Nursing curriculum provides knowledge and skills to integrate safety and quality into nursing care to meet the needs of the holistic individual which impact health, quality of life, and achievement of potential.&lt;br /&gt;
&lt;br /&gt;
Course work includes and builds upon the domains of healthcare, nursing practice, and the holistic individual. Content emphasizes safe, individualized nursing care and participation in the interdisciplinary team while employing evidence-based practice, quality improvement, and informatics.&lt;br /&gt;
&lt;br /&gt;
Graduates are eligible to apply to take the National Council Licensure Examination (NCLEX-PN) which is required for practice as a Licensed Practical Nurse. Employment opportunities include hospitals, rehabilitation/long term care/home health facilities, clinics, and physicians’ offices.&lt;br /&gt;
&lt;br /&gt;
PRACTICAL NURSING ADMISSIONS POLICY AND PROCEDURES &lt;br /&gt;
&lt;br /&gt;
To enter the Practical Nursing (PN) Program, a student must first be admitted to Richmond Community College.  Admission to Richmond Community College, however, does not guarantee admission into the program.  A letter from the Admissions Office will be sent to the student upon acceptance into the program. A letter from the Registrar will be sent to the student regarding transfer equivalency. &lt;br /&gt;
&lt;br /&gt;
&lt;b&gt;I.  The following policies and procedures are Admissions’ Requirements for potential Practical Nursing students to meet:&lt;/b&gt; &lt;br /&gt;
&lt;br /&gt;
1. Be a high school graduate or equivalent.&lt;br /&gt;
2. Complete all of RichmondCC’s General Admissions’ requirements including submission of official copies of transcripts from all secondary and post-secondary institutions or a copy of GED transcript, if applicable.&lt;br /&gt;
&lt;br /&gt;
Students interested in the Practical Nursing Program will need to fill out a separate admissions application. If needed, potential nursing students are welcome to request assistance from Student Services to complete this application. Applications will open June 1 every year and close Jan. 31 every year. Applicants are notified of Admissions status by May 31. Students should complete a nursing application even if they have not yet met the requirements for the Nursing Admissions. Nursing applications can be completed here (Make sure you are logged into your RichmondCC Office 365 account): &lt;br /&gt;
&lt;br /&gt;
Application for Fall 2026&lt;br /&gt;
&lt;br /&gt;
1. A Nursing Applicant must have already completed or exempted out of the following prerequisites:  MAT 043 and ENG 011&lt;br /&gt;
&lt;br /&gt;
2. Must have a calculated a Program GPA of 2.5. GPA is calculated based on the following courses:  BIO 165, BIO 166, ENG 111, and PSY 150. A PN applicant must have at least 10 credit hours completed or the unweighted high school GPA will be used or cumulative GPA from a college degree from a regionally accredited college. The Program GPA must be at least a 2.5. GPAs are calculated by the end of May each year prior to the Fall they are wishing to be admitted into the PN program.&lt;br /&gt;
&lt;br /&gt;
3. The following courses must not be more than five (5) years old at the time of admission to the program to receive credit for graduation:  all courses with BIO or NUR prefixes. If BIO 165 or BIO 166 is greater than five years old at the time of admission, the applicant must complete BIO 163 or retake BIO 165 and BIO 166. Anatomy and Physiology I and II must be completed at the same college.&lt;br /&gt;
&lt;br /&gt;
4. All PN applicants are required to complete a Reading Comprehension and Math test on the Accuplacer Test. This test is free and students must score 250 points or higher. The higher a student scores the more points that may accrue. This test must be completed during the open application period (June to January) and can only be taken two times.&lt;br /&gt;
&lt;br /&gt;
Practice for the Placement Test&lt;br /&gt;
&lt;br /&gt;
5. Attend an orientation session with the nursing faculty and admission staff in April.&lt;br /&gt;
&lt;br /&gt;
6. Only 20 students are admitted every fall semester in the Practical Nursing Program. This admissions process is very competitive. Students are ranked on a point system.&lt;br /&gt;
&lt;br /&gt;
7. Decisions regarding admission into the PN program are based upon an applicant’s Accuplacer test scores, GPA, and achievement in related courses. A student must meet all minimum requirements for admissions into the Nursing Program as noted previously in “Admission Requirements.” Applicants previously enrolled in a school of nursing must meet current admissions requirements and submit a statement of good standing from the previous Program Director stating that there were no professional or clinical performance issues while enrolled in the NUR curriculum The admission committee will determine admission eligibility based the Statement of Good Standing. Accuplacer scores, grades in specific courses, and current certifications/licenses as noted on the current point sheet are given point values. The points are used to rank applicants for the purpose of selection into the program.  In the event that applicants have identical total admission points, the person with the highest grade in BIO 165 will be ranked higher. Should candidates still be tied, the applicant with the highest grade in BIO 166 will be ranked higher.  If the applicants are still tied, the person with the earliest PN admissions application date will be ranked higher.&lt;br /&gt;
&lt;br /&gt;
8. Applicants are notified of admissions status by May 31. Students notified of acceptance will be required to submit a physical examination on the form provided by RichmondCC by a licensed physician, nurse practitioner, or physician’s assistant. The applicant must show physical and psychological ability to perform normal nursing duties. Physical examination and lab data should be no more than three months old at the time of initial enrollment. Annual TB test results and proof of current CPR certification must be submitted. Findings from the physical examination are not used to determine admission status. &lt;b&gt;Note:  Students are responsible for obtaining their own health insurance policy as desired. Neither RichmondCC nor the affiliating institutions are responsible for medical expenses incurred as a result of illness or injury sustained during class, lab, or clinical experiences (i.e. strained back, needle stick).&lt;/b&gt;&lt;br /&gt;
&lt;br /&gt;
9. Complete the pre-nursing program:  Attendance at a minimum of 90% of the class meetings of each required module is mandatory for successful completion of the pre-nursing requirement.&lt;br /&gt;
&lt;br /&gt;
10. Qualified applicants not accepted because of space limitations will be placed on an alternate list in rank order and notified in that order of any vacancies related to that semester’s admissions. Students must reapply from year to year if not admitted. Applications are not automatically carried over. No special consideration will be given to applicants who were on the alternate list the previous year. Applicants who want to improve their position are encouraged to meet with the Nursing Department Chair or advisor to discuss a plan of study.&lt;br /&gt;
&lt;br /&gt;
For previous Program &amp; Course Requirements, Program Completion Guides and Course Catalogs, please visit the Archives.&lt;br /&gt;</t>
  </si>
  <si>
    <t>Practical Nurse_website.jpg</t>
  </si>
  <si>
    <t>Real Estate Pre-Licensing</t>
  </si>
  <si>
    <t>&lt;!-- Real Estate Broker Pre-Licensing --&gt;
  &lt;iframe onload="initializeScripts('program-widget-54b90c', 'https://widget.lightcastcc.com')" id="program-widget-54b90c"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180&amp;visitButtonColor=%238E1F32&amp;headingText=Our%20students%20can%20go%20into%20these%20careers%3A"&gt;&lt;/iframe&gt;&lt;script type="text/javascript" src="https://widget.lightcastcc.com/scripts.js"&gt;&lt;/script&gt;</t>
  </si>
  <si>
    <t>Real Estate Broker_websiste.jpg</t>
  </si>
  <si>
    <t>Residential Wiring </t>
  </si>
  <si>
    <t>&lt;!-- Residential Wiring --&gt;
  &lt;iframe onload="initializeScripts('program-widget-6ec9b9', 'https://widget.lightcastcc.com')" id="program-widget-6ec9b9"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169&amp;visitButtonColor=%238E1F32&amp;headingText=Our%20students%20can%20go%20into%20these%20careers%3A"&gt;&lt;/iframe&gt;&lt;script type="text/javascript" src="https://widget.lightcastcc.com/scripts.js"&gt;&lt;/script&gt;</t>
  </si>
  <si>
    <t>residential_wiring_website.png</t>
  </si>
  <si>
    <t>School Resource Officer Training </t>
  </si>
  <si>
    <t>School_Resource_Officer.jpg</t>
  </si>
  <si>
    <t>Sewing Basics </t>
  </si>
  <si>
    <t>&lt;!-- Sewing Basics --&gt;
  &lt;iframe onload="initializeScripts('program-widget-8bca94', 'https://widget.lightcastcc.com')" id="program-widget-8bca94"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203&amp;visitButtonColor=%238E1F32&amp;headingText=Our%20students%20can%20go%20into%20these%20careers%3A"&gt;&lt;/iframe&gt;&lt;script type="text/javascript" src="https://widget.lightcastcc.com/scripts.js"&gt;&lt;/script&gt;</t>
  </si>
  <si>
    <t>sewing_website.png</t>
  </si>
  <si>
    <t>Sign Language  </t>
  </si>
  <si>
    <t>&lt;!-- American Sign Language --&gt;
  &lt;iframe onload="initializeScripts('program-widget-d2c8b0', 'https://widget.lightcastcc.com')" id="program-widget-d2c8b0"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190&amp;visitButtonColor=%238E1F32&amp;headingText=Our%20students%20can%20go%20into%20these%20careers%3A"&gt;&lt;/iframe&gt;&lt;script type="text/javascript" src="https://widget.lightcastcc.com/scripts.js"&gt;&lt;/script&gt;</t>
  </si>
  <si>
    <t>This class will provide students with the basics of American Sign Language. Upon successful completion of the course, students will be able to spell out words and sign conversations. Additionally, students will learn facial expressions that correlate with what they are signing.  &lt;br /&gt;
&lt;br /&gt;
Class Details &amp; Cost&lt;br /&gt;
&lt;br /&gt;
TBA&lt;br /&gt;
&lt;br /&gt;
American Sign Language II&lt;br /&gt;
&lt;br /&gt;
This course is for students who have completed American Sign Language I or ASL 111 and would like to continue mastering their ability to sign.&lt;br /&gt;
&lt;br /&gt;
Class Details &amp; Cost&lt;br /&gt;
&lt;br /&gt;
Jan. 26 - May 11 | Tuesdays &amp; Thursdays from 9:20 to 10:20 a.m. | Lee Building, room 21, Hamlet Campus | Tuition for this class is $125.&lt;br /&gt;For More Information&lt;br /&gt;
&lt;br /&gt;Call (910) 410-1700.</t>
  </si>
  <si>
    <t>Sign_Language_website.png</t>
  </si>
  <si>
    <t>Small Engine Repair</t>
  </si>
  <si>
    <t>&lt;!-- Small Engine Repair --&gt;
  &lt;iframe onload="initializeScripts('program-widget-635ba8', 'https://widget.lightcastcc.com')" id="program-widget-635ba8"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133&amp;visitButtonColor=%238E1F32&amp;headingText=Our%20students%20can%20go%20into%20these%20careers%3A"&gt;&lt;/iframe&gt;&lt;script type="text/javascript" src="https://widget.lightcastcc.com/scripts.js"&gt;&lt;/script&gt;</t>
  </si>
  <si>
    <t>Gain the skills to become a small engine mechanic by taking this introductory course that will provide you with instruction on disassembly, inspections, cleaning and repairs of small engines. &lt;br /&gt;
&lt;br /&gt;
Class Details &amp; Cost&lt;br /&gt;
&lt;br /&gt;
CLASS IS FULL - Sept. 8 - Dec. 8 | Mondays from 6 to 9 p.m. | Lindsey-Petris Building, room 130, Hamlet Campus | Tuition for this class is $125.&lt;br /&gt;
&lt;br /&gt;
Course Topics&lt;br /&gt;
&lt;br /&gt;
Use of basic tools&lt;br /&gt;
&lt;br /&gt;
Identification of quality tools&lt;br /&gt;
&lt;br /&gt;
Engine constructions&lt;br /&gt;
&lt;br /&gt;
Operation principals for 2-cycle and 4-cycle engines&lt;br /&gt;
&lt;br /&gt;
Measuring engine performance&lt;br /&gt;
&lt;br /&gt;
Carburetion&lt;br /&gt;
&lt;br /&gt;
Ignition systems&lt;br /&gt;
&lt;br /&gt;
Lubrication&lt;br /&gt;
&lt;br /&gt;
Cooling systems&lt;br /&gt;
&lt;br /&gt;
Preventive maintenance&lt;br /&gt;For More Information&lt;br /&gt;
&lt;br /&gt;Call (910) 410-1700.</t>
  </si>
  <si>
    <t>Small_Engine_Repair_Website.png</t>
  </si>
  <si>
    <t>Solar Energy Systems Technology  </t>
  </si>
  <si>
    <t>The Solar Energy Systems Technology course introduces students to the concepts, tools, techniques, and materials needed to understand systems that convert solar energy into electricity. Solar PanelTopics include site analysis for system integration, building codes, and advances in solar technology. Additionally, students will have the knowledge and skill to build a small solar energy system.
*Upon completion, students should be able to demonstrate an understanding of the principles of solar energy systems technology and current applications.
Class Dates: Sept. 10 - Nov. 5 
The hybrid class will meet every other Saturday from 9 a.m. to 1 p.m. for eight weeks, with online work also required. There will be an hour-long online assignment during "off" weeks of class.
Discounted Price!!!
Class Cost: $70.00</t>
  </si>
  <si>
    <t>Solar_power_website.png</t>
  </si>
  <si>
    <t>Spanish in the Workplace  </t>
  </si>
  <si>
    <t>This course will cover the basic phrases and communication skills needed to interact with Spanish-speaking employees, patrons, co-workers and customers in the workplace.
Class Date: Oct. 4 - Dec. 6
Location: Online
Cost: $70
Students will learn the correct vocabulary and expressions used to respond to Spanish-speaking individuals in the workplace.
Topics Include:
Greetings in the Workplace
Introductions
Personal Information
Meetings - Vocabulary &amp; Expressions
Job Interview</t>
  </si>
  <si>
    <t>Spanish_Language.jpg</t>
  </si>
  <si>
    <t>Technical Rescue Training </t>
  </si>
  <si>
    <t>&lt;!-- NC Technical Rescuer --&gt;
  &lt;iframe onload="initializeScripts('program-widget-fa3f2f', 'https://widget.lightcastcc.com')" id="program-widget-fa3f2f"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134&amp;visitButtonColor=%238E1F32&amp;headingText=Our%20students%20can%20go%20into%20these%20careers%3A"&gt;&lt;/iframe&gt;&lt;script type="text/javascript" src="https://widget.lightcastcc.com/scripts.js"&gt;&lt;/script&gt;</t>
  </si>
  <si>
    <t>&lt;p&gt;This program deals with the aspects of saving life or property that employ the use of tools and skills that exceed those normally reserved for fire fighting, medical emergency, and rescue.&lt;/p&gt;</t>
  </si>
  <si>
    <t>Rescue_Crew.jpg</t>
  </si>
  <si>
    <t>US Citizenship</t>
  </si>
  <si>
    <t>US_Citizenship_website.png</t>
  </si>
  <si>
    <t>Vehicle Safety Inspection</t>
  </si>
  <si>
    <t>&lt;!-- Vehicle Safety Inspection --&gt;
  &lt;iframe onload="initializeScripts('program-widget-07b896', 'https://widget.lightcastcc.com')" id="program-widget-07b896"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135&amp;visitButtonColor=%238E1F32&amp;headingText=Our%20students%20can%20go%20into%20these%20careers%3A"&gt;&lt;/iframe&gt;&lt;script type="text/javascript" src="https://widget.lightcastcc.com/scripts.js"&gt;&lt;/script&gt;</t>
  </si>
  <si>
    <t>This two-day course is designed to prepare auto technicians and service personnel as safety inspectors for motor vehicles. Course topics include regulations and test inspection procedures required by the NC Division of Motor Vehicles, License and Theft Bureau for safety inspectors to properly inspect a vehicle.Vehicle Safety Inspection&lt;br /&gt;
&lt;br /&gt;
Upcoming Classes&lt;br /&gt;
&lt;br /&gt;
Nov. 18-19 | 6 to 10 p.m. Lee Building, room 13, Hamlet Campus | Cost $70&lt;br /&gt;
&lt;br /&gt;
Course Topics&lt;br /&gt;
&lt;br /&gt;
Rules, regulations and procedures for conducting a vehicle safety inspection&lt;br /&gt;
&lt;br /&gt;
Nine inspection areas mechanics must check during a safety inspection&lt;br /&gt;
&lt;br /&gt;
Eight emissions control devices installed by vehicle manufacturers and emissions control devices required on a vehicle&lt;br /&gt;
&lt;br /&gt;
Calibrating and using a headlight aimer&lt;br /&gt;
&lt;br /&gt;
Calibrating and using a window tint meter&lt;br /&gt;For More Information&lt;br /&gt;
&lt;br /&gt;Call (910) 410-1700.</t>
  </si>
  <si>
    <t>Vehicle_Safety_Inspection_Website.png</t>
  </si>
  <si>
    <t>Welding</t>
  </si>
  <si>
    <t>&lt;!-- Welding Technology --&gt;
  &lt;iframe onload="initializeScripts('program-widget-16bf42', 'https://widget.lightcastcc.com')" id="program-widget-16bf42"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87&amp;visitButtonColor=%238E1F32&amp;headingText=Our%20students%20can%20go%20into%20these%20careers%3A"&gt;&lt;/iframe&gt;&lt;script type="text/javascript" src="https://widget.lightcastcc.com/scripts.js"&gt;&lt;/script&gt;</t>
  </si>
  <si>
    <t>We can prepare you for a welding career in just two semesters. Students can start in Welding I or Welding II. Upon successful completion of each course, students will be able to obtain certifications from the American Welding Society (AWS). Every AWS certification that a welder earns increases the number of skills needed to perform a wide range of welding jobs. Students must bring their own welding helmet, gloves, clear safety glasses and long sleeves to class.&lt;br /&gt;
&lt;br /&gt;
In addition, we offer basic welding classes to teach you foundational welding skills to make minor repairs.&lt;br /&gt;
&lt;br /&gt;
Welding I&lt;br /&gt;
&lt;br /&gt;
Topics&lt;br /&gt;
&lt;br /&gt;
Safety in Welding and Cutting&lt;br /&gt;
&lt;br /&gt;
Cutting Processes&lt;br /&gt;
&lt;br /&gt;
Welding Symbols and Specifications (Print Reading)&lt;br /&gt;
&lt;br /&gt;
SMAW (Stick) Plate&lt;br /&gt;
&lt;br /&gt;
SMAW (Stick) Pipe&lt;br /&gt;
&lt;br /&gt;
Fabrication&lt;br /&gt;
&lt;br /&gt;
Class Details &amp; Cost&lt;br /&gt;
&lt;br /&gt;
Jan. 26, 2026 - May 11, 2026 | Monday &amp; Tuesday from 9 a.m. to 3:30 p.m., Wednesday from 9 a.m. to 12 p.m., and Thursday ONLINE ASSIGNMENTS | Forte Building, room 312, Hamlet Campus | Tuition is $180; fees are $45.&lt;br /&gt;
&lt;br /&gt;
Welding II&lt;br /&gt;
&lt;br /&gt;
Welding I is not required before taking Welding II.&lt;br /&gt;
&lt;br /&gt;
Topics&lt;br /&gt;
&lt;br /&gt;
Safety Training&lt;br /&gt;
&lt;br /&gt;
Fabrication&lt;br /&gt;
&lt;br /&gt;
GMAW (MIG) FCAW/Plate&lt;br /&gt;
&lt;br /&gt;
GTAW (TIG) Plate and Pipe&lt;br /&gt;
&lt;br /&gt;
Class Details &amp; Cost&lt;br /&gt;
&lt;br /&gt;
CLASS IS FULL - Sept. 2 - Dec. 11 | Monday &amp; Tuesday from 9 a.m. to 3:30 p.m., Wednesday from 9 a.m. to 12 p.m., and Thursday ONLINE ASSIGNMENTS | Forte Building, room 312, Hamlet Campus | Tuition is $180; fees are $45.&lt;br /&gt;
&lt;br /&gt;
Basic to Advanced MIG Welding&lt;br /&gt;
&lt;br /&gt;
Gain skills to perform simple MIG welds to advanced open root MIG welds in all positions. Learn how to make minor and major repairs and MIG weld aluminum plate material. Students must bring their own welding helmet, clear safety glasses, welding gloves and long sleeves to class. It is recommended that students wear a pair of leather boots. &lt;br /&gt;
&lt;br /&gt;Class Details &amp; Cost&lt;br /&gt;
&lt;br /&gt;
TBD&lt;br /&gt;
&lt;br /&gt;
Basic Welding&lt;br /&gt;
&lt;br /&gt;
Gain skills to perform simple stick and MIG bead welds to fillet welds in all positions. Learn how to make minor repairs on plate material. Students must bring their own welding helmet, clear safety glasses, welding gloves and long sleeves to class. It is recommended students wear leather boots.&lt;br /&gt;
&lt;br /&gt;
Class Details &amp; Cost&lt;br /&gt;
&lt;br /&gt;
 Jan. 7, 2026 - May 15, 2026 | Monday and Wednesday from 5 to 8 p.m. | Forte Building, room 312, Hamlet Campus | Tuition is $180; fees are $45.&lt;br /&gt;
&lt;br /&gt;
Stick Plate Welding and Cutting&lt;br /&gt;
&lt;br /&gt;
Upon completion of this welding class, students will be able to perform stick welds in all positions on plate material and use oxy-fuel and plasma to cut and bevel metals.&lt;br /&gt;
&lt;br /&gt;
Class Details &amp; Cost&lt;br /&gt;
&lt;br /&gt;
TBA&lt;br /&gt;
&lt;br /&gt;
Stick and MIG Welding&lt;br /&gt;
&lt;br /&gt;
Upon completion of this welding class, students will be able to perform stick and MIG welds in all positions on plate material.&lt;br /&gt;
&lt;br /&gt;
Class Details &amp; Cost&lt;br /&gt;
&lt;br /&gt;
TBA&lt;br /&gt;For More Information&lt;br /&gt;
&lt;br /&gt;Call (910) 410-1700.</t>
  </si>
  <si>
    <t>Welding_2023_website.jpg</t>
  </si>
  <si>
    <t>Yoga </t>
  </si>
  <si>
    <t>&lt;!-- Yoga --&gt;
  &lt;iframe onload="initializeScripts('program-widget-f40ec9', 'https://widget.lightcastcc.com')" id="program-widget-f40ec9"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208&amp;visitButtonColor=%238E1F32&amp;headingText=Our%20students%20can%20go%20into%20these%20careers%3A"&gt;&lt;/iframe&gt;&lt;script type="text/javascript" src="https://widget.lightcastcc.com/scripts.js"&gt;&lt;/script&gt;</t>
  </si>
  <si>
    <t>Find your Zen at RichmondCC with a weekly Yoga class. Woman standing in a yoga poseStudents will learn the physical practices of Yoga and focus on mindful breathing practices and awareness meditation. Getting a better understanding of how to safely and effectively practice Yoga, students will break down the anatomy and alignment of postures.&lt;br /&gt;
&lt;br /&gt;
Thursday Yoga: From 6 to 7 p.m. at the Robinette Building in downtown Rockingham starting Jan. 13 and running through April 14.&lt;br /&gt;
&lt;br /&gt;
Course Topics&lt;br /&gt;
&lt;br /&gt;
• Mindful Breathing&lt;br /&gt;
&lt;br /&gt;
• Setting Intentions&lt;br /&gt;
&lt;br /&gt;
• Warm-ups&lt;br /&gt;
&lt;br /&gt;
• Linked Postures&lt;br /&gt;
&lt;br /&gt;
• Abdominal Work&lt;br /&gt;
&lt;br /&gt;
• Cool Down and Relaxation&lt;br /&gt;
&lt;br /&gt;For More Information&lt;br /&gt;
&lt;br /&gt;Call (910) 410-1700.</t>
  </si>
  <si>
    <t>Yoga_website.png</t>
  </si>
  <si>
    <t>55470</t>
  </si>
  <si>
    <t>911 Communications &amp; Operations</t>
  </si>
  <si>
    <t>&lt;!-- 911 Communications &amp; Operations --&gt;
  &lt;iframe onload="initializeScripts('program-widget-b9b1d8', 'https://widget.lightcastcc.com')" id="program-widget-b9b1d8"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150&amp;visitButtonColor=%238E1F32&amp;headingText=Our%20students%20can%20go%20into%20these%20careers%3A"&gt;&lt;/iframe&gt;&lt;script type="text/javascript" src="https://widget.lightcastcc.com/scripts.js"&gt;&lt;/script&gt;</t>
  </si>
  <si>
    <t>The 911 Communications and Operations curriculum is designed to provide new students, as well as current practitioners, with knowledge and skills in the areas necessary for entrance or advancement within emergency communications.&lt;br /&gt;
&lt;br /&gt;
Emphasis is placed on the development of concepts and theories of public safety communication systems, basic office software skills, technical writing, business math and statistics, cybersecurity fundamentals, public and interpersonal relations, understand local government finance systems, basics of GIS, personnel management and supervision, project coordination, time management, and organizational skills, grant writing, introduction to computers and networks, mental health awareness, and adaptation to technology within emergency communication organizations.&lt;br /&gt;
&lt;br /&gt;
Employment opportunities exist in a variety of areas, including:  local government emergency communication organizations, county sheriff’s departments, 911 emergency dispatch organizations, law enforcement, fire and EMS agencies, private communication centers, and emergency management.&lt;br /&gt;</t>
  </si>
  <si>
    <t>911_Call_Center_1_website.jpg</t>
  </si>
  <si>
    <t>Funeral Service Education-Fayetteville Tech Partnership</t>
  </si>
  <si>
    <t>&lt;!-- Funeral Services --&gt;
  &lt;iframe onload="initializeScripts('program-widget-bda70c', 'https://widget.lightcastcc.com')" id="program-widget-bda70c"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204&amp;visitButtonColor=%238E1F32&amp;headingText=Our%20students%20can%20go%20into%20these%20careers%3A"&gt;&lt;/iframe&gt;&lt;script type="text/javascript" src="https://widget.lightcastcc.com/scripts.js"&gt;&lt;/script&gt;</t>
  </si>
  <si>
    <t>Fayetteville Tech Community College</t>
  </si>
  <si>
    <t>In partnership with FTCC, take your first year with Richmond Community College then transfer to Fayetteville Tech to complete your AAS in Funeral Services.&lt;br /&gt;
&lt;br /&gt;
The Funeral Service Education curriculum provides students with the opportunity to become proficient in basic funeral service skills.&lt;br /&gt;
&lt;br /&gt;
In addition to the general education courses required in the curriculum, students will complete technical courses such as human anatomy, microbiology, embalming theory and practice, embalming chemistry, restorative arts, funeral law, and funeral home operations.&lt;br /&gt;
&lt;br /&gt;
Graduates of the curriculum, upon passing the state and national exams, completing an internship in a funeral home, and satisfying all state board of funeral service requirements, will be qualified for employment as embalmers and/or funeral directors.&lt;br /&gt;</t>
  </si>
  <si>
    <t>Funeral_Service.png</t>
  </si>
  <si>
    <t>Respiratory Therapy-Fayetteville Tech Partnership</t>
  </si>
  <si>
    <t>&lt;!-- Respiratory Therapy --&gt;
  &lt;iframe onload="initializeScripts('program-widget-d5ebcd', 'https://widget.lightcastcc.com')" id="program-widget-d5ebcd"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205&amp;visitButtonColor=%238E1F32&amp;headingText=Our%20students%20can%20go%20into%20these%20careers%3A"&gt;&lt;/iframe&gt;&lt;script type="text/javascript" src="https://widget.lightcastcc.com/scripts.js"&gt;&lt;/script&gt;</t>
  </si>
  <si>
    <t>In partnership with FTCC, take your prequisite first year courses with Richmond Community College then apply to the Respiratory Therapy program at Fayetteville Tech.&lt;br /&gt;
&lt;br /&gt;
The Respiratory Therapy curriculum prepares individuals to function as respiratory therapists through demonstrated competence in the cognitive, psychomotor, and affective learning domains of respiratory care practice. Graduates perform diagnostic and therapeutic procedures with exposure to current and emerging practice settings.&lt;br /&gt;
&lt;br /&gt;
The curriculum prepares graduates to operate within inter-professional teams and effectively communicate with clients/patients of various ages, ethnicities, and cultures. Application of problem solving strategies, applying ethical decision making, and understanding professional responsibilities are emphasized.&lt;br /&gt;
&lt;br /&gt;
Graduates are eligible to complete the credentialing process through the National Board for Respiratory Care, which will qualify them for a license to practice in a variety of healthcare settings with responsibilities for assessment, treatment, management and education of patients with cardiopulmonary diseases.&lt;br /&gt;</t>
  </si>
  <si>
    <t>Respiratory_Therapy.png</t>
  </si>
  <si>
    <t>Speech-Language Pathology Assistant-Fayetteville Tech Partnership</t>
  </si>
  <si>
    <t>&lt;!-- Speech Language Pathology Assistant --&gt;
  &lt;iframe onload="initializeScripts('program-widget-3cd497', 'https://widget.lightcastcc.com')" id="program-widget-3cd497"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206&amp;visitButtonColor=%238E1F32&amp;headingText=Our%20students%20can%20go%20into%20these%20careers%3A"&gt;&lt;/iframe&gt;&lt;script type="text/javascript" src="https://widget.lightcastcc.com/scripts.js"&gt;&lt;/script&gt;</t>
  </si>
  <si>
    <t>In partnership with FTCC, take your prequisite first year courses with Richmond Community College then apply to the Speech Language Pathology program at Fayetteville Tech.&lt;br /&gt;
&lt;br /&gt;
The Speech-Language Pathology Assistant curriculum prepares graduates to work under the supervision of a licensed Speech-Language Pathologist, who evaluates, diagnoses, and treats individuals with various communication disorders.&lt;br /&gt;
&lt;br /&gt;
Courses provide instruction in methods of screening for speech, language, and hearing disorders and in following written protocols designed to remedial individual communication problems. Supervised field experiences include working with patients of various ages and with various disorders.&lt;br /&gt;
&lt;br /&gt;
Graduates may be eligible for registration with the North Carolina Board of Examiners for Speech-Language Pathologists and Audiologists and must be supervised by a licensed Speech-Language Pathologist. They may be employed in healthcare or education settings.&lt;br /&gt;</t>
  </si>
  <si>
    <t>Speech_Pathology.png</t>
  </si>
  <si>
    <t>Paralegal Technology-Fayetteville Tech Partnership</t>
  </si>
  <si>
    <t>&lt;!-- Paralegal Assistant --&gt;
  &lt;iframe onload="initializeScripts('program-widget-7134f9', 'https://widget.lightcastcc.com')" id="program-widget-7134f9" title="richmondcc widget" style="border: 0; min-width: 100%; width: 1px" src="https://widget.lightcastcc.com?hasCareerList=true&amp;hasEmployment=true&amp;hasAllLocations=false&amp;hasImages=true&amp;hasJobOpenings=true&amp;hasNationalData=true&amp;hasOutlook=true&amp;hasSkills=true&amp;hasVisitButton=true&amp;hasWages=true&amp;isHourlyWage=true&amp;labelSet=default&amp;clientId=richmondcc&amp;locationName=100%20Mile%20Radius&amp;orderCareersBy=None&amp;primaryColor=%238E1F32&amp;programs=rc207&amp;visitButtonColor=%238E1F32&amp;headingText=Our%20students%20can%20go%20into%20these%20careers%3A"&gt;&lt;/iframe&gt;&lt;script type="text/javascript" src="https://widget.lightcastcc.com/scripts.js"&gt;&lt;/script&gt;</t>
  </si>
  <si>
    <t>In partnership with FTCC, take your first year with Richmond Community College then transfer to Fayetteville Tech to complete your AAS to become a Paralegal Assistant.&lt;br /&gt;
&lt;br /&gt;
The Paralegal Technology curriculum prepares individuals to work under the supervision of attorneys by performing routine legal tasks and assisting with substantive legal work. A paralegal/legal assistant may not practice law, give legal advice, or represent clients in a court of law.&lt;br /&gt;
&lt;br /&gt;
Course work includes substantive and procedural legal knowledge in the areas of civil litigation, legal research and writing, real estate, family law, wills, estates, trusts, and commercial law. Required courses also include subjects such as English, mathematics, and computer utilization.&lt;br /&gt;
&lt;br /&gt;
Graduates are trained to assist attorneys in probate work, investigations, public records search, drafting and filing legal documents, research, and office management. Employment opportunities are available in private law firms, governmental agencies, banks, insurance agencies, and other business organizations.</t>
  </si>
  <si>
    <t>paralegal.png</t>
  </si>
  <si>
    <t>Surgical Technology</t>
  </si>
  <si>
    <t>$180 plus fees for each level</t>
  </si>
  <si>
    <t>The Surgical Technology program will prepare students for careers as surgical technicians, which are in high demand by area hospitals and surgical centers. The average salary for a surgical technician is up to $35/hour. After completing one year of study, students can take the Tech in Surgery TS-C (NCCT) certification exam. Please note that TS-C does not meet licensing or regulatory requirements for Surgical Technologists in some states. Please check with your local hospital system of your residence to confirm participation with this certifying body.&lt;br /&gt;
&lt;br /&gt;
Surgical Tech Level 1&lt;br /&gt;
&lt;br /&gt;
TBA&lt;br /&gt;
&lt;br /&gt;
Course Cost: $875&lt;br /&gt;
&lt;br /&gt;
This cost includes:&lt;br /&gt;
&lt;br /&gt;
Tuition and fees&lt;br /&gt;
&lt;br /&gt;
Textbooks&lt;br /&gt;
&lt;br /&gt;
Basic Life Support&lt;br /&gt;
&lt;br /&gt;
CastleBranch drug screening&lt;br /&gt;
&lt;br /&gt;
CastleBranch Bridges Program&lt;br /&gt;
&lt;br /&gt;
1 set of scrubs&lt;br /&gt;
&lt;br /&gt;
Pre-requisites for Enrollment&lt;br /&gt;
&lt;br /&gt;
Students will need to have completed these courses in order to enroll in the program:&lt;br /&gt;
&lt;br /&gt;
ENG 111 (or equivalent)&lt;br /&gt;
&lt;br /&gt;
ENG 112 (or equivalent)&lt;br /&gt;
&lt;br /&gt;
MAT 143 or higher (or equivalent)&lt;br /&gt;
&lt;br /&gt;
BIO 163 or combination of BIO 165/166 (or equivalent)&lt;br /&gt;
&lt;br /&gt;
College level humanities or sociology or psychology course&lt;br /&gt;
&lt;br /&gt;
Exhibit computer literacy or completion of college-level computer course&lt;br /&gt;
&lt;br /&gt;
Surgical Tech Level 2&lt;br /&gt;
&lt;br /&gt;
TBA&lt;br /&gt;
&lt;br /&gt;
Course Cost: $390&lt;br /&gt;
&lt;br /&gt;
This cost includes:&lt;br /&gt;
&lt;br /&gt;
Tuition and fees&lt;br /&gt;
&lt;br /&gt;
CastleBranch drug screening&lt;br /&gt;
&lt;br /&gt;
1 set of scrubs&lt;br /&gt;
&lt;br /&gt;
Pre-requisites for Enrollment&lt;br /&gt;
&lt;br /&gt;
Successful completion of Surgical Tech Level I&lt;br /&gt;
&lt;br /&gt;
For More Information&lt;br /&gt;
&lt;br /&gt;
Call Student Services at (910) 410-1700.</t>
  </si>
  <si>
    <t>Surg_Tech_3.jpg</t>
  </si>
  <si>
    <t>Pottery</t>
  </si>
  <si>
    <t>Under the guidance of instructor Ada Ramos Swallow, you will explore the timeless medium of clay to shape unique and beautiful pottery by hand and on the throwing wheel. Whether you are a beginner or looking to refine your skills, this class offers a hands-on opportunity to connect with the roots of the pottery tradition.&lt;br /&gt;
&lt;br /&gt;
Class Details &amp; Cost&lt;br /&gt;
&lt;br /&gt;
Oct. 23 - Dec. 18 | Tuesdays and Thursdays from 6 to 9 p.m. | Lindsey-Petris Building, room 106, Hamlet Campus | Tuition for this class is $125; fees are $55.&lt;br /&gt;
&lt;br /&gt;
Students must provide their own Kemper Pottery Tool Kit or equivalent.&lt;br /&gt;
&lt;br /&gt;
What is Wheel Throwing?&lt;br /&gt;
&lt;br /&gt;
Wheel throwing is the process of shaping clay on a potter's wheel to create items like mugs, bowls, and plates. The potter forms wet clay on the spinning wheel, then allows it to partially dry to a leather-hard stage before trimming and finishing. The wheel can also be used to add decorative elements through carving or applying slip and underglaze.&lt;br /&gt;
&lt;br /&gt;
Course Topics&lt;br /&gt;
&lt;br /&gt;
Pinching technique&lt;br /&gt;
&lt;br /&gt;
Coiling technique&lt;br /&gt;
&lt;br /&gt;
Slab-rolling technique&lt;br /&gt;
&lt;br /&gt;
Practical skills to craft functional pottery pieces&lt;br /&gt;
&lt;br /&gt;
Wheel throwing techniques to create functional pieces like mugs, bowls, and plates&lt;br /&gt;
&lt;br /&gt;
Decorative techniques to enhance your creations&lt;br /&gt;For More Information&lt;br /&gt;
&lt;br /&gt;Call (910) 410-1700.</t>
  </si>
  <si>
    <t>Pottery.jpg</t>
  </si>
  <si>
    <t>Freight Dispatching</t>
  </si>
  <si>
    <t>Owning a freight dispatching company offers high income potential with low start-up and overhead costs in the exciting, fast-paced trucking logistics industry. Learn what you need to know to launch your own freight dispatching business in this 3-day class series, including learning how to communicate with shippers and brokers, booking and navigating loads, and negotiating freight rates. You will also learn about the different types of equipment, as well as safety and compliance. This course will combine theory with hands-on practice, giving students the knowledge and confidence to start a successful at-home career in freight dispatching.&lt;br /&gt;
&lt;br /&gt;
Class Details &amp; Cost&lt;br /&gt;
&lt;br /&gt;
Nov. 4-6 from 5:30 to 8:30 p.m. | Robinette Building, room 114, Rockingham | Tuition for this class is $70&lt;br /&gt;For More Information&lt;br /&gt;
&lt;br /&gt;Call (910) 410-1700.</t>
  </si>
  <si>
    <t>Freight_Dispatch.jpg</t>
  </si>
  <si>
    <t>1030N</t>
  </si>
  <si>
    <t>Associate in General Education Nursing</t>
  </si>
  <si>
    <t>The Associate in General Education (AGE)-Nursing is designed for students who wish to begin their study toward the Associate in Nursing degree and a Baccalaureate degree in Nursing as based on Blocks 1 through 3 of the Uniform Articulation Agreement between the University of North Carolina’s Registered Nurse (RN) to Bachelor of Science in Nursing (BSN) programs and the North Carolina Community College Associate Degree Nursing Programs which was approved by the State Board of Community Colleges and the UNC Board of Governors in February 2015. The AGE-Nursing shall be granted for a planned program of study consisting of a minimum of 60 semester hours of credit (SHC) of courses.&lt;br /&gt;
&lt;br /&gt;
A student who completes an Associate in Applied Science (AAS) in Nursing with a GPA of at least 2.0 and a grade of C or better in the AGE-Nursing courses listed below and who holds a current unrestricted license as a Registered Nurse in North Carolina will have fulfilled the UNC institutions lower-division general education requirements as well as nursing program entry requirements. However, because nursing program admissions are competitive, no student is guaranteed admission to the program of his or her choice.&lt;br /&gt;</t>
  </si>
  <si>
    <t>ADN_Students.jpg</t>
  </si>
  <si>
    <t>https://richmondcc0.sharepoint.com/:f:/s/MarketingTeam/Eq4LsdqewCRJjzd9m4H1V2gBcBPKaY4uOOSj6MN_bbF_3A</t>
  </si>
  <si>
    <t>Year</t>
  </si>
  <si>
    <t>Program Code</t>
  </si>
  <si>
    <t>Big Group</t>
  </si>
  <si>
    <t>Header</t>
  </si>
  <si>
    <t>Big Group Header Description</t>
  </si>
  <si>
    <t>In-Group Ordering</t>
  </si>
  <si>
    <t>In-Group Header Description</t>
  </si>
  <si>
    <t>Recommended Semester</t>
  </si>
  <si>
    <t>Credits</t>
  </si>
  <si>
    <t>Course ID and Description</t>
  </si>
  <si>
    <t>A10100</t>
  </si>
  <si>
    <t>Program Note</t>
  </si>
  <si>
    <t>Community college graduates must obtain a grade of "C" or better in each course and an overall GPA of at least 2.0 on a 4.0 scale in order to transfer with a junior status. Courses may also transfer through bilateral agreements between institutions.&lt;br /&gt;
&lt;br /&gt;
&lt;i&gt;Transfer programs such as this require a "C" or better in all classes to graduate.&lt;/i&gt;&lt;br /&gt;
&lt;br /&gt;
&lt;b&gt;All courses listed are currently offered at RichmondCC. Transfer students, please see a counselor for more courses that could satisfy these requirements.&lt;/b&gt;&lt;br /&gt;
&lt;br /&gt;</t>
  </si>
  <si>
    <t>Academic Transition</t>
  </si>
  <si>
    <t>Take All Courses:</t>
  </si>
  <si>
    <t>[[ACA-122]]</t>
  </si>
  <si>
    <t>General Education</t>
  </si>
  <si>
    <t>Take thirteen to fourteen (13-14) semester hours of additional general education courses from the preceding Humanities/Fine Arts, Social/Behavioral Sciences, Mathematics, and Natural Sciences or any of the courses listed here. Students should select these courses based on their intended major and transfer university.&lt;br /&gt;
&lt;br /&gt;
&lt;i&gt;&lt;b&gt;Note:  If take three (3) credit hour MAT must take fourteen (14) Additional General Education credit hours.  If take four (4) credit hour MAT must take thirteen (13) Additional General Education credit hours.&lt;/b&gt;&lt;/i&gt;</t>
  </si>
  <si>
    <t>13-14</t>
  </si>
  <si>
    <t>[[ANT-220]], [[ART-111]], [[ART-114]], [[ART-115]], [[ASL-111]], [[ASL-112]], [[AST-111]] and [[AST-111A]], [[BIO-110]], [[BIO-111]], [[BIO-112]], [[BIO-140]] and [[BIO-140A]], [[CHM-131]] and [[CHM-131A]], [[CHM-151]], [[CHM-152]], [[CIS-110]], [[CIS-115]], [[COM-120]], [[COM-231]], [[DRA-111]], [[ECO-251]], [[ECO-252]], [[ENG-114]], [[ENG-231]], [[ENG-232]], [[ENG-241]], [[ENG-242]], [[GEL-111]], [[HIS-111]], [[HIS-112]], [[HIS-121]], [[HIS-131]], [[HIS-132]], [[HUM-110]], [[HUM-115]], [[HUM-120]], [[MAT-143]], [[MAT-152]], [[MAT-171]], [[MAT-172]], [[MAT-263]], [[MAT-271]], [[MAT-272]], [[MAT-273]], [[MUS-110]], [[MUS-112]], [[MUS-210]], [[MUS-211]], [[PHI-215]], [[PHI-240]], [[PHY-110]] and [[PHY-110A]], [[PHY-151]], [[PHY-152]], [[PHY-251]], [[PHY-252]], [[POL-120]], [[PSY-150]], [[PSY-241]], [[PSY-281]], [[REL-110]], [[REL-211]], [[REL-212]], [[SOC-210]], [[SOC-213]], [[SOC-220]], [[SOC-225]], [[SOC-240]], [[SPA-111]], [[SPA-112]], [[SPA-211]], [[SPA-212]]</t>
  </si>
  <si>
    <t>English Composition</t>
  </si>
  <si>
    <t>[[ENG-111]], [[ENG-112]]</t>
  </si>
  <si>
    <t>Communication and Humanities/Fine Arts</t>
  </si>
  <si>
    <t>Take Three (3) courses from the following from at least two (2) different disciplines:</t>
  </si>
  <si>
    <t>[[ART-111]], [[ART-114]], [[ART-115]], [[COM-120]], [[COM-231]], [[ENG-231]], [[ENG-232]], [[ENG-241]], [[ENG-242]], [[MUS-110]], [[MUS-112]], [[PHI-215]], [[PHI-240]]</t>
  </si>
  <si>
    <t>Social/Behavioral Sciences</t>
  </si>
  <si>
    <t>Take three (3) courses from the following from at least two (2) different disciplines:</t>
  </si>
  <si>
    <t>[[ECO-251]], [[ECO-252]], [[HIS-111]], [[HIS-112]], [[HIS-131]], [[HIS-132]], [[POL-120]], [[PSY-150]], [[SOC-210]]</t>
  </si>
  <si>
    <t>Mathematics</t>
  </si>
  <si>
    <t>Take One (1) course from the following:&lt;br /&gt;
&lt;br /&gt;
&lt;i&gt;&lt;b&gt;Note:  If take three (3) credit hour MAT must take fourteen (14) Additional General Education credit hours. If take four (4) credit hour MAT must take thirteen (13) Additional General Education credit hours.&lt;/b&gt;&lt;/i&gt;</t>
  </si>
  <si>
    <t>3-4</t>
  </si>
  <si>
    <t>[[MAT-143]], [[MAT-152]], [[MAT-171]]</t>
  </si>
  <si>
    <t>Natural Sciences</t>
  </si>
  <si>
    <t>Take Four (4) Credit Hours:</t>
  </si>
  <si>
    <t>[[AST-111]] and [[AST-111A]]; [[BIO-110]]; [[BIO-111]]; [[CHM-151]]; [[GEL-111]]; [[PHY-110]] and [[PHY-110A]]</t>
  </si>
  <si>
    <t>Pre-Major and/or Electives</t>
  </si>
  <si>
    <t>Take a minimum of fourteen (14) semester hours. Students may take additional general education courses from the preceding general education sections or courses classified as a pre-major and/or elective course within the Comprehensive Articulation Agreement listed below. Students should select these courses based on their intended major and transfer university.&lt;br /&gt;
&lt;br /&gt;
&lt;i&gt;Students must meet the receiving university's foreign language and/or health and physical education requirements, if applicable, prior to or after transfer to the senior institution.&lt;/i&gt;</t>
  </si>
  <si>
    <t>[[ACC-120]], [[ACC-121]], [[ANT-220]], [[ART-111]], [[ART-114]], [[ART-115]], [[ART-121]],  [[ART-122]], [[ART-131]], [[ART-171]], [[ART-240]], [[ART-241]], [[ART-264]], [[ART-281]], [[ART-283]], [[ART-284]], [[ART-285]], [[AST-111]] and [[AST-111A]], [[BIO-110]], [[BIO-111]], [[BIO-112]], [[BIO-140]] and [[BIO-140A]], [[BIO-163]], [[BIO-165]], [[BIO-166]], [[BIO-275]], [[BUS-110]], [[BUS-115]], [[BUS-137]], [[CHM-131]] and [[CHM-131A]], [[CHM-151]], [[CHM-152]], [[CHM-251]], [[CHM-252]], [[CIS-110]], [[CIS-115]], [[CJC-111]], [[CJC-141]], [[COM-120]], [[COM-231]], [[CSC-151]], [[DRA-111]], [[ECO-251]], [[ECO-252]], [[EDU-144]], [[EDU-145]], [[EDU-216]], [[EDU-221]], [[EGR-150]], [[ENG-114]], [[ENG-125]], [[ENG-231]], [[ENG-232]], [[ENG-241]], [[ENG-242]], [[ENG-273]], [[GEL-111]], [[HEA-120]], [[HIS-111]], [[HIS-112]], [[HIS-121]], [[HIS-131]], [[HIS-132]], [[HUM-110]], [[HUM-115]], [[HUM-120]], [[MAT-143]], [[MAT-152]], [[MAT-171]], [[MAT-172]], [[MAT-263]], [[MAT-271]], [[MAT-272]], [[MAT-273]], [[MAT-285]], [[MUS-110]], [[MUS-112]], [[MUS-131]], [[MUS-132]], [[MUS-210]], [[MUS-211]], [[PED-110]], [[PED-120]], [[PED-121]], [[PED-138]], [[PED-143]], [[PED-147]], [[PED-157]], [[PED-162]], [[PED-172]], [[PED-174]], [[PED-219]], [[PED-277]], [[PHI-215]], [[PHI-240]], [[PHY-110]] and [[PHY-110A]], [[PHY-151]], [[PHY-152]], [[PHY-251]], [[PHY-252]], [[POL-120]], [[PSY-150]], [[PSY-241]], [[PSY-281]], [[REL-110]], [[REL-211]], [[REL-212]], [[SOC-210]], [[SOC-213]], [[SOC-220]], [[SOC-225]], [[SOC-240]], [[SPA-111]], [[SPA-112]], [[SPA-211]], [[SPA-212]]</t>
  </si>
  <si>
    <t>A1010T</t>
  </si>
  <si>
    <t>Community college graduates must obtain a grade of "C" or better in each course and an overall GPA of at least 2.0 on a 4.0 scale in order to transfer with a junior status. Courses may also transfer through bilateral agreements between institutions.&lt;br /&gt;
&lt;br /&gt;
If your intention is to transfer to a four-year institution, consult with a counselor to make sure you enroll in the correct college transfer track offered at RichmondCC. Additionally, counselors and advisors can help students design a program of study that best fits the student's career plan.&lt;br /&gt;
&lt;br /&gt;
&lt;i&gt;Transfer programs such as this require a "C" or better in all classes to graduate.&lt;/i&gt;&lt;br /&gt;
&lt;br /&gt;
&lt;b&gt;All courses listed are currently offered at RichmondCC. Transfer students, please see a counselor for more courses that could satisfy these requirements.&lt;/b&gt;&lt;br /&gt;
&lt;br /&gt;</t>
  </si>
  <si>
    <t>[[SOC-225]]</t>
  </si>
  <si>
    <t>Take fourteen to fifteen (14-15) semester hours of additional general education courses from the preceding Humanities/Fine Arts, Social/Behavioral Sciences, Mathematics, and Natural Sciences or any of the courses listed here. Students should select these courses based on their intended major and transfer university.</t>
  </si>
  <si>
    <t>14-15</t>
  </si>
  <si>
    <t>[[ANT-220]], [[ART-111]], [[ART-114]], [[ART-115]], [[ASL-111]], [[ASL-112]], [[AST-111]] and [[AST-111A]], [[BIO-110]], [[BIO-111]], [[BIO-112]], [[BIO-140]] and [[BIO-140A]], [[CHM-131]] and [[CHM-131A]], [[CHM-151]], [[CHM-152]], [[CIS-110]], [[CIS-115]], [[COM-120]], [[COM-231]], [[DRA-111]], [[ECO-251]], [[ECO-252]], [[ENG-114]], [[ENG-231]], [[ENG-232]], [[ENG-241]], [[ENG-242]], [[GEL-111]], [[HIS-111]], [[HIS-112]], [[HIS-121]], [[HIS-131]], [[HIS-132]], [[HUM-115]], [[HUM-120]], [[MAT-143]], [[MAT-152]], [[MAT-171]], [[MAT-172]], [[MAT-271]], [[MAT-272]], [[MAT-273]], [[MUS-110]], [[MUS-112]], [[PHI-215]], [[PHI-240]], [[PHY-110]] and [[PHY-110A]], [[PHY-151]], [[PHY-152]], [[PHY-251]], [[PHY-252]], [[POL-120]], [[PSY-150]], [[PSY-241]], [[PSY-281]], [[REL-110]], [[REL-211]], [[REL-212]], [[SOC-210]], [[SOC-213]], [[SOC-220]], [[SOC-240]], [[SPA-111]], [[SPA-112]], [[SPA-211]], [[SPA-212]]</t>
  </si>
  <si>
    <t>[[ART-111]], [[ART-114]], [[ART-115]], [[COM-120]], [[COM-231]], [[DRA-111]], [[ENG-231]], [[ENG-232]], [[ENG-241]], [[ENG-242]], [[MUS-110]], [[MUS-112]], [[PHI-215]], [[PHI-240]]</t>
  </si>
  <si>
    <t>Take two (2) courses from the following from at least two (2) different disciplines:</t>
  </si>
  <si>
    <t>Take One (1) Course:</t>
  </si>
  <si>
    <t>Education</t>
  </si>
  <si>
    <t xml:space="preserve">Take All Courses:&lt;br /&gt;
&lt;br /&gt;
&lt;i&gt;*Students who have completed Teacher Cadet or Teaching as a Profession courses in high school with a "B" or better may substitute that course for EDU 187 Teaching and Learning for All.&lt;/i&gt;&lt;br /&gt;
&lt;br /&gt;
&lt;i&gt;Students must meet the receiving university's foreign language and/or health and physical education requirements, if applicable, prior to or after transfer to the senior institution.&lt;/i&gt;&lt;br /&gt;
</t>
  </si>
  <si>
    <t>[[EDU-187]]*, [[EDU-216]], [[EDU-250]], [[EDU-279]]</t>
  </si>
  <si>
    <t>A1030N</t>
  </si>
  <si>
    <t>A student who completes an Associate in Applied Science (AAS) in Nursing with a GPA of at least 2.0 and a grade of C or better in the AGE-Nursing courses listed below and who holds a current unrestricted license as a Registered Nurse in North Carolina will have fulfilled the UNC institutions lower-division general education requirements as well as nursing program entry requirements. However, because nursing program admissions are competitive, no student is guaranteed admission to the program of his or her choice.&lt;br /&gt;
&lt;br /&gt;
&lt;i&gt;To receive a degree, diploma or certificate from RCC, a student must have a grade of “C” or better in all curriculum courses and a “B” or better in all BIO courses for the program of study.&lt;/i&gt;&lt;br /&gt;
&lt;br /&gt;</t>
  </si>
  <si>
    <t>1st Year - Fall</t>
  </si>
  <si>
    <t>3</t>
  </si>
  <si>
    <t>[[ENG-111]]</t>
  </si>
  <si>
    <t>[[HIS-111]], [[HIS-131]]</t>
  </si>
  <si>
    <t>[[PSY-150]]</t>
  </si>
  <si>
    <t>[[MAT-143]], [[MAT-171]]</t>
  </si>
  <si>
    <t>1st Year - Spring</t>
  </si>
  <si>
    <t>[[ENG-112]]</t>
  </si>
  <si>
    <t>Humanities/Fine Arts</t>
  </si>
  <si>
    <t>[[MUS-110]]</t>
  </si>
  <si>
    <t>6</t>
  </si>
  <si>
    <t>[[PSY-241]], [[SOC-210]]</t>
  </si>
  <si>
    <t>4</t>
  </si>
  <si>
    <t>[[MAT-152]]</t>
  </si>
  <si>
    <t>2nd Year - Fall</t>
  </si>
  <si>
    <t>[[ENG-231]]</t>
  </si>
  <si>
    <t>8</t>
  </si>
  <si>
    <t>[[BIO-165]], [[CHM-151]]</t>
  </si>
  <si>
    <t>2nd Year - Spring</t>
  </si>
  <si>
    <t>[[HUM-115]]</t>
  </si>
  <si>
    <t>[[BIO-166]], [[BIO-275]]</t>
  </si>
  <si>
    <t>Other Required Courses</t>
  </si>
  <si>
    <t>[[POL-120]], [[SOC-220]]</t>
  </si>
  <si>
    <t>A10400</t>
  </si>
  <si>
    <t>Take eleven (11) semester hours of additional general education courses from the preceding Humanities/Fine Arts, Social/Behavioral Sciences, Mathematics, and Natural Sciences or any of the courses listed here. Students should select these courses based on their intended major and transfer university.</t>
  </si>
  <si>
    <t>[[ANT-220]], [[ART-111]], [[ART-114]], [[ART-115]], [[ASL-111]], [[ASL-112]], [[AST-111]] and [[AST-111A]], [[BIO-112]], [[BIO-140]] and [[BIO-140A]], [[CHM-131]] and [[CHM-131A]], [[CIS-110]], [[CIS-115]], [[COM-120]], [[DRA-111]], [[ENG-114]], [[ENG-241]], [[ENG-242]], [[HIS-121]], [[HUM-110]], [[HUM-115]], [[HUM-120]], [[MAT-272]], [[MAT-273]], [[PHI-215]], [[PHI-240]], [[PSY-241]], [[PSY-281]], [[REL-110]], [[REL-211]], [[REL-212]], [[SOC-213]], [[SOC-220]], [[SOC-225]], [[SOC-240]], [[SPA-111]], [[SPA-112]], [[SPA-211]], [[SPA-212]]</t>
  </si>
  <si>
    <t>Take Two (2) courses from the following from at least two (2) different disciplines:</t>
  </si>
  <si>
    <t>Take Two (2) Courses:</t>
  </si>
  <si>
    <t>[[MAT-171]], [[MAT-172]], [[MAT-263]], [[MAT-271]], [[MAT-272]]</t>
  </si>
  <si>
    <t>Take One (1) Group:</t>
  </si>
  <si>
    <t>Group 1:  [[BIO-110]] and [[GEL-111]]&lt;br /&gt;
Group 2:  [[BIO-110]], [[PHY-110]] and [[PHY-110A]]&lt;br /&gt;
Group 3:  [[BIO-111]] and [[BIO-112]]&lt;br /&gt;
Group 4:  [[CHM-151]] and [[CHM-152]]&lt;br /&gt;
Group 5:  [[GEL-111]], [[PHY-110]] and [[PHY-110A]]&lt;br /&gt;
Group 6:  [[PHY-151]] and [[PHY-152]]&lt;br /&gt;
Group 7:  [[PHY-251]] and [[PHY-252]]</t>
  </si>
  <si>
    <t>[[ACC-120]], [[ACC-121]], [[ANT-220]], [[ART-111]], [[ART-114]], [[ART-115]], [[ART-121]],  [[ART-122]], [[ART-131]], [[ART-171]], [[ART-240]], [[ART-241]], [[ART-264]], [[ART-281]], [[ART-283]], [[ART-284]], [[ART-285]], [[AST-111]] and [[AST-111A]], [[BIO-110]], [[BIO-111]], [[BIO-112]], [[BIO-140]] and [[BIO-140A]], [[BIO-163]], [[BIO-165]], [[BIO-166]], [[BIO-275]], [[BUS-110]], [[BUS-115]], [[BUS-137]], [[CHM-131]] and [[CHM-131A]], [[CHM-151]], [[CHM-152]], [[CHM-251]], [[CHM-252]], [[CIS-110]], [[CIS-115]], [[CJC-111]], [[CJC-141]], [[COM-120]], [[COM-231]], [[CSC-151]], [[DRA-111]], [[ECO-251]], [[ECO-252]], [[EDU-144]], [[EDU-145]], [[EDU-216]], [[EDU-221]], [[EGR-150]], [[ENG-114]], [[ENG-125]], [[ENG-231]], [[ENG-232]], [[ENG-241]], [[ENG-242]], [[ENG-273]], [[GEL-111]], [[HEA-120]], [[HIS-111]], [[HIS-112]], [[HIS-121]], [[HIS-131]], [[HIS-132]], [[HUM-110]], [[HUM-115]], [[HUM-120]], [[MAT-143]], [[MAT-152]], [[MAT-171]], [[MAT-172]], [[MAT-263]], [[MAT-271]], [[MAT-272]], [[MAT-273]], [[MAT-285]], [[MUS-110]], [[MUS-111]], [[MUS-112]], [[MUS-131]], [[MUS-132]], [[MUS-210]], [[MUS-211]], [[PED-110]], [[PED-120]], [[PED-121]], [[PED-138]], [[PED-143]], [[PED-147]], [[PED-157]], [[PED-162]], [[PED-172]], [[PED-174]], [[PED-219]], [[PED-277]], [[PHI-215]], [[PHI-240]], [[PHY-110]] and [[PHY-110A]], [[PHY-151]], [[PHY-152]], [[PHY-251]], [[PHY-252]], [[POL-120]], [[PSY-150]], [[PSY-241]], [[PSY-281]], [[REL-110]], [[REL-211]], [[REL-212]], [[SOC-210]], [[SOC-213]], [[SOC-220]], [[SOC-225]], [[SOC-240]], [[SPA-111]], [[SPA-112]], [[SPA-211]], [[SPA-212]]</t>
  </si>
  <si>
    <t>A10400W</t>
  </si>
  <si>
    <t>Students seeking entry into the Wingate University School of Pharmacy will meet all pre-requisite course requirements for application by completing this Associate in Science Degree - Pre-Pharmacy Pathway. Additionally, this curriculum adheres to the North Carolina Community College System guidelines for an Associate in Science degree. If a student is not admitted to the Wingate University School of Pharmacy, the Associate of Science degree can also be used to transfer to a Bachelor's degree program.&lt;br /&gt;
&lt;br /&gt;
Completion of the Associate of Science degree does not guarantee admission to the Wingate University School of Pharmacy. Program completion through this partnership ensures that prerequisites have been met; however, the following are additional criteria for admission to the School of Pharmacy:&lt;br /&gt;
&lt;ul&gt;
&lt;li&gt; minimum 3.0 GPA in prerequisite courses (average GPA for accepted Wingate Pharmacy students is 3.5)
&lt;li&gt; earn a competitive composite score on the Pharmacy College Admissions Test (PCAT)
&lt;li&gt; complete an application through PharmCAS
&lt;li&gt; complete the Wingate University School of Pharmacy supplemental application
&lt;li&gt; complete the interview process
&lt;li&gt; complete criminal background check
&lt;/ul&gt;
All pharmacy prerequisites must be completed by the end of spring semester of the year in which pharmacy school enrollment is requested. Admission decisions will be made upon consideration of the course work completed by December 31 of the year prior to prospective matriculation. It is acknowledged that several requirements may be in-progress during the spring semester prior to matriculation into the School of Pharmacy. The grades for in-progress courses will not be taken into account in determination of pre-pharmacy grade point averages.&lt;br /&gt;
&lt;br /&gt;
The Wingate University School of Pharmacy requires that science and communications courses be taken in a seated classroom setting. Science courses taken more than 5 years prior to one's desired enrollment date may not be accepted.&lt;br /&gt;
&lt;br /&gt;
Take a Virtual Tour of the Wingate University School of Pharmacy at http://pharmacy.wingate.edu. Additional information about Wingate University's School of Pharmacy and application process can be found at http://pharmacy.wingate.edu/admissions. RCC's Pathway correlation to course requirements can be viewed below.&lt;br /&gt;
&lt;br /&gt;
The Wingate University School of Pharmacy and Richmond Community College have agreed to partner in an effort to outline a specific pathway for students to obtain an Associate in Science degree that also meets the prerequisite coursework requirements for application to the Wingate University School of Pharmacy. The following are the details of the pathway curriculum.&lt;br /&gt;
&lt;br /&gt;</t>
  </si>
  <si>
    <t>Communication</t>
  </si>
  <si>
    <t>Take All Courses:&lt;br /&gt;
&lt;br /&gt;
&lt;i&gt;Must be taken in a seated classroom setting.&lt;/i&gt;</t>
  </si>
  <si>
    <t>[[COM-231]]</t>
  </si>
  <si>
    <t>[[REL-211]], [[REL-212]], [[SPA-111]]</t>
  </si>
  <si>
    <t>[[PSY-150]], [[SOC-210]], [[SOC-213]]</t>
  </si>
  <si>
    <t>[[MAT-152]], [[MAT-171]], [[MAT-172]], [[MAT-271]]</t>
  </si>
  <si>
    <t>Take All Courses:&lt;br /&gt;
&lt;br /&gt;
&lt;i&gt;Must be taken in a seated classroom setting. Science courses taken more than five (5) years prior to one's desired enrollment date may not be accepted.&lt;/i&gt;</t>
  </si>
  <si>
    <t>[[BIO-111]], [[BIO-163]], [[CHM-151]], [[CHM-152]], [[CHM-251]], [[CHM-252]]</t>
  </si>
  <si>
    <t>Take One (1) Course:&lt;br /&gt;
&lt;br /&gt;
&lt;i&gt;Must be taken in a seated classroom setting. Science courses taken more than five (5) years prior to one's desired enrollment date may not be accepted.&lt;/i&gt;</t>
  </si>
  <si>
    <t>[[PHY-151]], [[PHY-251]]</t>
  </si>
  <si>
    <t>Additional History, Humanities, Social/Behavioral Sciences</t>
  </si>
  <si>
    <t>Take One (1) Course not previously taken:</t>
  </si>
  <si>
    <t>[[HIS-112]], [[HIS-132]], [[PSY-150]], [[REL-211]], [[REL-212]], [[SOC-210]], [[SOC-213]], [[SPA-111]]</t>
  </si>
  <si>
    <t>Literature</t>
  </si>
  <si>
    <t>[[ENG-231]], [[ENG-232]]</t>
  </si>
  <si>
    <t>History</t>
  </si>
  <si>
    <t>[[HIS-112]], [[HIS-132]]</t>
  </si>
  <si>
    <t>Economics</t>
  </si>
  <si>
    <t>[[ECO-251]], [[ECO-252]]</t>
  </si>
  <si>
    <t>A1040T</t>
  </si>
  <si>
    <t>Take eleven to twelve (11-12) semester hours of additional general education courses from the preceding Humanities/Fine Arts, Social/Behavioral Sciences, Mathematics, and Natural Sciences or any of the courses listed here. Students should select these courses based on their intended major and transfer university.</t>
  </si>
  <si>
    <t>11-12</t>
  </si>
  <si>
    <t>[[ANT-220]], [[ART-111]], [[ART-114]], [[ART-115]], [[ASL-111]], [[ASL-112]], [[AST-111]] and [[AST-111A]], [[BIO-110]], [[BIO-112]], [[BIO-140]] and [[BIO-140A]], [[CHM-131]] and [[CHM-131A]], [[CIS-110]], [[CIS-115]], [[COM-120]], [[DRA-111]], [[ENG-114]], [[ENG-241]], [[ENG-242]], [[HIS-121]], [[HUM-115]], [[HUM-120]], [[MAT-143]], [[MAT-152]], [[MAT-272]], [[MAT-273]], [[PHI-215]], [[PHI-240]], [[PSY-241]], [[PSY-281]], [[REL-110]], [[REL-211]], [[REL-212]], [[SOC-213]], [[SOC-220]], [[SOC-240]], [[SPA-111]], [[SPA-112]], [[SPA-211]], [[SPA-212]]</t>
  </si>
  <si>
    <t>Take All Courses:&lt;br /&gt;
&lt;br /&gt;
&lt;i&gt;*Students who have completed Teacher Cadet or Teaching as a Profession courses in high school with a "B" or better may substitute that course for EDU 187 Teaching and Learning for All.&lt;/i&gt;&lt;br /&gt;
&lt;br /&gt;
&lt;i&gt;Students must meet the receiving university's foreign language and/or health and physical education requirements, if applicable, prior to or after transfer to the senior institution.&lt;/i&gt;</t>
  </si>
  <si>
    <t>A10500</t>
  </si>
  <si>
    <t>&lt;b&gt;&lt;i&gt;EFFECTIVE 2024 FALL:  THIS PROGRAM IS IN TEACH-OUT STATUS.&lt;br /&gt;
NO NEW STUDENTS WILL BE ENROLLED 2024 FALL OR AFTER.&lt;br /&gt;
CURRENT STUDENTS MUST COMPLETE THE PROGRAM BY 2026 SPRING.&lt;/i&gt;&lt;/b&gt;&lt;br /&gt;
&lt;br /&gt;
To be eligible for the transfer of credits under the AE to the Bachelor of Science in Engineering Articulation Agreement, community college graduates must obtain a grade of "C" or better in each course and an overall GPA of at least 2.5 on a 4.0 scale.&lt;br /&gt;
&lt;br /&gt;
&lt;i&gt;Transfer programs such as this require a "C" or better in all classes to graduate.&lt;/i&gt;&lt;br /&gt;
&lt;br /&gt;
&lt;b&gt;All courses listed are currently offered at RichmondCC. Transfer students, please see a counselor for more courses that could satisfy these requirements.&lt;/b&gt;&lt;br /&gt;
&lt;br /&gt;</t>
  </si>
  <si>
    <t>Communication and Fine Arts</t>
  </si>
  <si>
    <t>[[ART-111]], [[ART-114]], [[ART-115]], [[COM-231]], [[MUS-110]]</t>
  </si>
  <si>
    <t>[[ECO-251]]</t>
  </si>
  <si>
    <t>[[HIS-111]], [[HIS-112]], [[HIS-131]], [[HIS-132]], [[POL-120]], [[PSY-150]], [[SOC-210]]</t>
  </si>
  <si>
    <t>[[MAT-271]], [[MAT-272]], [[MAT-273]]</t>
  </si>
  <si>
    <t>[[CHM-151]], [[PHY-251]], [[PHY-252]]</t>
  </si>
  <si>
    <t>[[EGR-150]]</t>
  </si>
  <si>
    <t>Take fifteen (15) semester hours of other General Education and Pre-Major Elective courses from courses:</t>
  </si>
  <si>
    <t>[[BIO-111]], [[CHM-152]], [[CSC-151]], [[ECO-252]], [[EGR-220]], [[EGR-225]], [[MAT-285]], [[PED-110]]</t>
  </si>
  <si>
    <t>Humanities</t>
  </si>
  <si>
    <t>[[ENG-231]], [[ENG-232]], [[ENG-241]], [[ENG-242]], [[PHI-215]], [[PHI-240]], [[REL-110]]</t>
  </si>
  <si>
    <t>A10600</t>
  </si>
  <si>
    <t>&lt;b&gt;&lt;i&gt;EFFECTIVE 2024 FALL:  THIS PROGRAM IS IN TEACH-OUT STATUS.&lt;br /&gt;
NO NEW STUDENTS WILL BE ENROLLED 2024 FALL OR AFTER.&lt;br /&gt;
CURRENT STUDENTS MUST COMPLETE THE PROGRAM BY 2026 SPRING.&lt;/i&gt;&lt;/b&gt;&lt;br /&gt;
&lt;br /&gt;
AFA in Visual Arts graduates must obtain a grade of "C" or better in each course and an overall GPA of at least 2.0 on a 4.0 scale in order to transfer under the AFAVA to BFA Articulation Agreement. Courses may also transfer through bilateral agreements between institutions.&lt;br /&gt;
&lt;br /&gt;
&lt;i&gt;Transfer programs such as this require a "C" or better in all classes to graduate.&lt;/i&gt;&lt;br /&gt;
&lt;br /&gt;
&lt;b&gt;All courses listed are currently offered at RichmondCC. Transfer students, please see a counselor for more courses that could satisfy these requirements.&lt;/b&gt;&lt;br /&gt;
&lt;br /&gt;</t>
  </si>
  <si>
    <t>[[ART-114]], [[ART-115]], [[ART-121]], [[ART-122]], [[ART-131]]</t>
  </si>
  <si>
    <t>[[ART-111]], [[COM-231]], [[ENG-231]], [[ENG-232]], [[ENG-241]], [[ENG-242]], [[MUS-110]], [[MUS-112]], [[PHI-215]], [[PHI-240]]</t>
  </si>
  <si>
    <t>[[MAT-143]], [[MAT-152]], [[MAT-171]], [[MAT-271]], [[MAT-272]]</t>
  </si>
  <si>
    <t>[[AST-111]] and [[AST-111A]]; [[BIO-111]]; [[CHM-151]]; [[GEL-111]]; [[PHY-110]] and [[PHY-110A]]</t>
  </si>
  <si>
    <t>Take eighteen to twenty (18-20) semester hours. Students may take additional general education courses from the preceding general education sections or courses classified as a pre-major and/or elective course within the Comprehensive Articulation Agreement listed here. Students should select these courses based on their intended major and transfer university.&lt;br /&gt;
&lt;br /&gt;
&lt;i&gt;Students must meet the receiving university's foreign language and/or health and physical education requirements, if applicable, prior to or after transfer to the senior institution.&lt;/i&gt;</t>
  </si>
  <si>
    <t>18-20</t>
  </si>
  <si>
    <t>[[ART-171]], [[ART-240]], [[ART-241]], [[ART-264]], [[ART-281]], [[ART-283]], [[ART-284]], [[ART-285]]</t>
  </si>
  <si>
    <t>A25120GB</t>
  </si>
  <si>
    <t>Core Course</t>
  </si>
  <si>
    <t>Take All Courses:&lt;br /&gt;
&lt;br /&gt;
&lt;i&gt;Courses must be completed with a grade of "C" or better.&lt;/i&gt;</t>
  </si>
  <si>
    <t>[[BUS-110]], [[BUS-115]], [[CIS-110]]</t>
  </si>
  <si>
    <t>Take One (1) Course:&lt;br /&gt;
&lt;br /&gt;
&lt;i&gt;These courses are currently offered at RichmondCC. Transfer students, please see a counselor for more courses that could satisfy this requirement.&lt;/i&gt;</t>
  </si>
  <si>
    <t>[[ART-111]], [[ART-114]], [[ART-115]], [[ART-121]], [[ART-131]], [[ART-171]], [[ART-240]], [[ART-241]], [[ART-281]], [[ART-283]], [[DRA-111]], [[ENG-125]], [[ENG-231]], [[ENG-232]], [[ENG-241]], [[ENG-242]], [[HUM-115]], [[HUM-120]], [[MUS-110]], [[MUS-112]], [[MUS-210]], [[PHI-215]], [[PHI-240]], [[REL-110]], [[REL-211]], [[REL-212]]</t>
  </si>
  <si>
    <t xml:space="preserve">[[BUS-137]], [[MKT-120]] </t>
  </si>
  <si>
    <t>Other Major Courses</t>
  </si>
  <si>
    <t xml:space="preserve">[[CTS-130]] </t>
  </si>
  <si>
    <t>Program Elective I</t>
  </si>
  <si>
    <t>2-4</t>
  </si>
  <si>
    <t xml:space="preserve">[[ACC-122]], [[ACC-129]], [[ACC-130]], [[ACC-140]], [[ACC-150]], [[ACC-180]], [[ACC-225]], [[BUS-139]], [[BUS-217]], [[BUS-234]], [[BUS-256]], [[BUS-260]], [[MKT-220]], [[MKT-223]], [[MKT-225]], [[MKT-227]], [[MKT-232]], [[PAD-151]], [[PAD-152]], [[PAD-251]], [[PAD-252]], [[PMT-110]], [[PMT-210]], [[PMT-215]] </t>
  </si>
  <si>
    <t>[[ACC-120]], [[BUS-121]], [[BUS-153]], [[ECO-252]]</t>
  </si>
  <si>
    <t>Program Elective II</t>
  </si>
  <si>
    <t>Take One (1) Course Not Previously Taken:</t>
  </si>
  <si>
    <t>[[ANT-220]], [[ECO-251]], [[ECO-252]], [[HIS-111]], [[HIS-112]], [[HIS-121]], [[HIS-131]], [[HIS-132]], [[POL-120]], [[PSY-150]], [[PSY-241]], [[PSY-281]], [[SOC-210]], [[SOC-213]], [[SOC-220]], [[SOC-225]], [[SOC-240]]</t>
  </si>
  <si>
    <t xml:space="preserve">[[BUS-125]], [[BUS-230]] </t>
  </si>
  <si>
    <t>[[ACC-121]], [[ECO-251]]</t>
  </si>
  <si>
    <t>Work-Based Learning Option</t>
  </si>
  <si>
    <t xml:space="preserve">Group 1&lt;br /&gt;
Take Both Courses:  [[WBL-111]] and [[WBL-115]] &lt;br /&gt;
&lt;br /&gt;
Group 2&lt;br /&gt;
Take One (1) Course:  [[BUS-239]] </t>
  </si>
  <si>
    <t>A25120M</t>
  </si>
  <si>
    <t xml:space="preserve">[[BUS-110]], [[BUS-115]], [[CIS-110]], [[MKT-120]] </t>
  </si>
  <si>
    <t xml:space="preserve">[[BUS-137]], [[MKT-223]] </t>
  </si>
  <si>
    <t>Program Elective</t>
  </si>
  <si>
    <t xml:space="preserve">[[ACC-122]], [[ACC-129]], [[ACC-130]], [[ACC-225]], [[BUS-121]], [[BUS-125]], [[BUS-139]], [[BUS-153]], [[BUS-230]], [[BUS-260]], [[ECO-251]], [[PAD-151]], [[PAD-152]], [[PAD-251]], [[PAD-252]], [[PMT-110]], [[PMT-210]], [[PMT-215]] </t>
  </si>
  <si>
    <t xml:space="preserve">[[ACC-120]], [[ECO-252]], [[MKT-227]], [[MKT-232]] </t>
  </si>
  <si>
    <t xml:space="preserve">[[MKT-220]], [[MKT-225]] </t>
  </si>
  <si>
    <t>[[ACC-121]]</t>
  </si>
  <si>
    <t>A25200</t>
  </si>
  <si>
    <t>[[ACC-120]], [[HMT-110]], [[HMT-215]], [[MED-121]]</t>
  </si>
  <si>
    <t>[[ACC-121]], [[CIS-110]], [[HMT-210]], [[MED-122]]</t>
  </si>
  <si>
    <t>[[OST-131]]</t>
  </si>
  <si>
    <t>[[COM-231]], [[ENG-112]]</t>
  </si>
  <si>
    <t>[[HMT-211]], [[HMT-220]]</t>
  </si>
  <si>
    <t xml:space="preserve">[[BUS-153]] </t>
  </si>
  <si>
    <t xml:space="preserve">[[BUS-137]], [[CTS-130]], [[HMT-212]], [[HMT-225]], [[WBL-111]], [[WBL-115]] </t>
  </si>
  <si>
    <t>A25380</t>
  </si>
  <si>
    <t>9</t>
  </si>
  <si>
    <t>[[ENG-111]], [[MAT-143]], [[POL-120]]</t>
  </si>
  <si>
    <t>[[ACA-122]], [[CIS-110]]</t>
  </si>
  <si>
    <t>[[COM-231]], [[PHI-240]]</t>
  </si>
  <si>
    <t>Take One (1) Course:&lt;br /&gt;
&lt;br /&gt;
&lt;i&gt;Course must be completed with a grade of "C" or better.&lt;/i&gt;</t>
  </si>
  <si>
    <t>[[SOC-210]], [[SOC-213]]</t>
  </si>
  <si>
    <t>A25590A</t>
  </si>
  <si>
    <t>[[CTI-110]], [[CTI-120]], [[CTS-120]]</t>
  </si>
  <si>
    <t>[[CIS-115]]</t>
  </si>
  <si>
    <t>[[CTS-115]], [[SEC-110]]</t>
  </si>
  <si>
    <t>[[CTS-220]], [[NET-125]], [[NOS-130]]</t>
  </si>
  <si>
    <t>1st Year - Summer</t>
  </si>
  <si>
    <t>[[ENG-111]], [[MAT-143]]</t>
  </si>
  <si>
    <t>[[SEC-160]]</t>
  </si>
  <si>
    <t>[[DBA-120]], [[NOS-120]], [[NOS-230]]</t>
  </si>
  <si>
    <t>[[WEB-140]]</t>
  </si>
  <si>
    <t>2-3</t>
  </si>
  <si>
    <t>Group 1&lt;br /&gt;
Take Both Courses:  [[WBL-111]] and [[WBL-115]] &lt;br /&gt;
&lt;br /&gt;
Group 2&lt;br /&gt;
Take One (1) Course:  [[CTS-289]]</t>
  </si>
  <si>
    <t>[[ACC-115]], [[ACC-120]], [[BUS-110]], [[BUS-115]], [[BUS-125]], [[BUS-137]], [[BUS-139]], [[BUS-230]], [[BUS-260]], [[CIS-110]], [[CSC-151]], [[CSC-153]], [[CSC-251]], [[CTS-130]], [[CTS-155]], [[ECO-251]], [[ECO-252]], [[HBI-110]], [[HMT-110]], [[HMT-210]], [[MED-121]], [[MKT-120]], [[MKT-223]], [[OST-136]], [[OST-137]], [[PMT-110]], [[PMT-210]], [[PMT-215]], [[SPA-111]], [[WEB-141]], [[WEB-250]]&lt;br /&gt;
&lt;i&gt;*Note:  Only 3 SCH of SPA are allowed towards an Information Technology degree.&lt;/i&gt;</t>
  </si>
  <si>
    <t>A25590B</t>
  </si>
  <si>
    <t>[[CIS-110]]</t>
  </si>
  <si>
    <t>[[CTS-115]], [[CTS-220]]</t>
  </si>
  <si>
    <t>[[NET-125]], [[NOS-130]], [[SEC-110]]</t>
  </si>
  <si>
    <t>[[CTS-155]]</t>
  </si>
  <si>
    <t xml:space="preserve">[[NOS-120]], [[NOS-230]], [[PMT-110]] </t>
  </si>
  <si>
    <t>[[DBA-110]]</t>
  </si>
  <si>
    <t>[[ACC-115]], [[ACC-120]], [[BUS-110]], [[BUS-115]], [[BUS-125]], [[BUS-137]], [[BUS-139]], [[BUS-230]], [[BUS-260]], [[CIS-115]], [[CSC-151]], [[CSC-153]], [[CSC-251]], [[CTS-130]], [[DBA-120]], [[ECO-251]], [[ECO-252]], [[HBI-110]], [[HMT-110]], [[HMT-210]], [[MED-121]], [[MKT-120]], [[MKT-223]], [[OST-137]], [[PMT-210]], [[PMT-215]], [[SEC-160]],  [[SPA-111]]*, [[WEB-140]], [[WEB-141]], [[WEB-250]]&lt;br /&gt;
&lt;i&gt;*Note:  Only 3 SCH of SPA are allowed towards an Information Technology degree.&lt;/i&gt;</t>
  </si>
  <si>
    <t>A25590C</t>
  </si>
  <si>
    <t>[[CSC-151]], [[CTS-115]]</t>
  </si>
  <si>
    <t>[[NET-125]], [[WEB-140]]</t>
  </si>
  <si>
    <t>[[DBA-120]]</t>
  </si>
  <si>
    <t>[[CSC-251]], [[NOS-120]], [[WEB-141]]</t>
  </si>
  <si>
    <t>[[SEC-110]], [[WEB-250]]</t>
  </si>
  <si>
    <t>[[ACC-115]], [[ACC-120]], [[BUS-110]], [[BUS-115]], [[BUS-125]], [[BUS-137]], [[BUS-139]], [[BUS-230]], [[BUS-260]], [[CIS-110]], [[CSC-153]], [[CTS-130]], [[CTS-155]], [[DBA-110]], [[ECO-251]], [[ECO-252]], [[HBI-110]], [[HMT-110]], [[HMT-210]], [[MED-121]], [[MKT-120]], [[MKT-223]], [[NOS-130]], [[NOS-230]], [[OST-136]], [[OST-137]], [[PMT-110]], [[PMT-210]], [[PMT-215]], [[SEC-160]], [[SPA-111]]*&lt;br /&gt;
&lt;i&gt;*Note:  Only 3 SCH of SPA are allowed towards an Information Technology degree.&lt;/i&gt;</t>
  </si>
  <si>
    <t>A25590E</t>
  </si>
  <si>
    <t xml:space="preserve">[[PMT-110]] </t>
  </si>
  <si>
    <t>[[CTS-115]]</t>
  </si>
  <si>
    <t>[[CTS-220]], [[HMT-110]], [[NET-125]], [[NOS-130]]</t>
  </si>
  <si>
    <t>[[DBA-120]], [[HBI-110]]</t>
  </si>
  <si>
    <t>[[CTS-155]], [[NOS-120]], [[NOS-230]]</t>
  </si>
  <si>
    <t>[[SEC-110]]</t>
  </si>
  <si>
    <t>[[ACC-115]], [[ACC-120]], [[BUS-110]], [[BUS-115]], [[BUS-125]], [[BUS-137]], [[BUS-139]], [[BUS-230]], [[BUS-260]], [[CIS-110]], [[CIS-115]], [[CSC-151]], [[CSC-153]], [[CSC-251]], [[CTS-130]], [[DBA-110]], [[ECO-251]], [[ECO-252]], [[ELC-112]], [[HMT-210]], [[MED-121]], [[MKT-120]], [[MKT-223]], [[OST-136]], [[OST-137]], [[PMT-210]], [[PMT-215]], [[SEC-160]], [[SPA-111]]*, [[WEB-140]], [[WEB-141]], [[WEB-250]]&lt;br /&gt;
&lt;i&gt;*Note:  Only 3 SCH of SPA are allowed towards an Information Technology degree.&lt;/i&gt;</t>
  </si>
  <si>
    <t>A25800</t>
  </si>
  <si>
    <t>[[ECO-252]], [[ENG-111]]</t>
  </si>
  <si>
    <t>[[ACC-120]], [[CIS-110]]</t>
  </si>
  <si>
    <t>[[ACC-121]], [[ACC-129]], [[CTS-130]], [[ECO-251]]</t>
  </si>
  <si>
    <t xml:space="preserve">[[ACC-122]], [[ACC-150]] </t>
  </si>
  <si>
    <t xml:space="preserve">[[ACC-220]], [[BUS-115]], [[BUS-125]] </t>
  </si>
  <si>
    <t xml:space="preserve">[[ACC-130]] </t>
  </si>
  <si>
    <t>[[ACC-221]], [[ACC-225]], [[BUS-137]]</t>
  </si>
  <si>
    <t>Group 1&lt;br /&gt;
Take Both Courses:  [[WBL-111]] and [[WBL-115]] &lt;br /&gt;
&lt;br /&gt;
Group 2&lt;br /&gt;
Take One (1) Course:  [[ACC-115]], [[ACC-140]], [[ACC-180]], [[BUS-110]], [[BUS-121]], [[BUS-153]], [[BUS-217]], [[BUS-230]], [[BUS-260]], [[DBA-110]], [[INT-110]], [[MKT-120]], [[MKT-223]], [[OST-286]], [[PAD-152]], [[PAD-251]], [[PAD-252]], or [[SPA-111]]*&lt;br /&gt;
&lt;br /&gt;
&lt;i&gt;*Note:  Only three (3) SHC of SPA are allowed towards the Accounting degree.&lt;/i&gt;</t>
  </si>
  <si>
    <t>A35100</t>
  </si>
  <si>
    <t>[[AHR-110]], [[AHR-111]], [[AHR-113]]</t>
  </si>
  <si>
    <t>[[AHR-180]], [[CIS-110]]</t>
  </si>
  <si>
    <t>[[AHR-112]], [[AHR-114]]</t>
  </si>
  <si>
    <t>[[AHR-151]], [[AHR-160]]</t>
  </si>
  <si>
    <t xml:space="preserve">[[BUS-110]], [[BUS-230]] </t>
  </si>
  <si>
    <t>[[MAT-110]], [[MAT-143]]</t>
  </si>
  <si>
    <t>[[AHR-211]], [[AHR-213]]</t>
  </si>
  <si>
    <t>[[AHR-115]]</t>
  </si>
  <si>
    <t>[[AHR-130]], [[AHR-212]]</t>
  </si>
  <si>
    <t>[[AHR-235]]</t>
  </si>
  <si>
    <t>Group 1&lt;br /&gt;
Take Both Courses:  [[WBL-111]] and [[WBL-115]] &lt;br /&gt;
&lt;br /&gt;
Group 2&lt;br /&gt;
Take One (1) Course:  [[AHR-120]]</t>
  </si>
  <si>
    <t>A40160</t>
  </si>
  <si>
    <t>&lt;b&gt;&lt;i&gt;EFFECTIVE 2024 FALL:  THIS PROGRAM IS IN TEACH-OUT STATUS.&lt;br /&gt;
NO NEW STUDENTS WILL BE ENROLLED 2024 FALL OR AFTER.&lt;br /&gt;
CURRENT STUDENTS MUST COMPLETE THE PROGRAM BY 2026 SPRING.&lt;/i&gt;&lt;/b&gt;&lt;br /&gt;
&lt;br /&gt;</t>
  </si>
  <si>
    <t>[[ENG-111]], [[MAT-171]]</t>
  </si>
  <si>
    <t>[[CTS-120]], [[ELC-131]]</t>
  </si>
  <si>
    <t>[[CTS-220]], [[ELN-131]], [[ELN-133]]</t>
  </si>
  <si>
    <t>[[MAT-172]]</t>
  </si>
  <si>
    <t>[[ELN-232]]</t>
  </si>
  <si>
    <t>[[DFT-151]], [[ELN-260]], [[NOS-120]]</t>
  </si>
  <si>
    <t>[[CSC-153]]</t>
  </si>
  <si>
    <t>[[ATR-112]], [[NET-125]]</t>
  </si>
  <si>
    <t>Group 1&lt;br /&gt;
Take Both Courses:  [[WBL-111]] and [[WBL-115]] &lt;br /&gt;
&lt;br /&gt;
Group 2&lt;br /&gt;
Take One (1) Course:  [[EGR-285]]</t>
  </si>
  <si>
    <t>A40350</t>
  </si>
  <si>
    <t>4-5</t>
  </si>
  <si>
    <t>[[ELC-112]], [[ELC-131]]</t>
  </si>
  <si>
    <t>[[ELC-117]], [[HYD-110]], [[ISC-112]]</t>
  </si>
  <si>
    <t>[[ELN-229]], [[MAT-172]]</t>
  </si>
  <si>
    <t>[[DFT-151]], [[ELN-260]], [[MEC-130]]</t>
  </si>
  <si>
    <t>[[PHY-131]], [[PHY-151]]</t>
  </si>
  <si>
    <t>[[ISC-132]]</t>
  </si>
  <si>
    <t>[[ATR-112]], [[ELC-213]]</t>
  </si>
  <si>
    <t>[[ATR-211]], [[MEC-110]]</t>
  </si>
  <si>
    <t>Group 1&lt;br /&gt;
Take Both Courses:  [[WBL-111]] and [[WBL-115]] &lt;br /&gt;
&lt;br /&gt;
Group 2&lt;br /&gt;
Take One (1) Course:  [[MNT-240]]</t>
  </si>
  <si>
    <t>A45110</t>
  </si>
  <si>
    <t>&lt;b&gt;NOT Completed:  NUR-111 Pre-Requisites&lt;/b&gt;</t>
  </si>
  <si>
    <t>General Education:  NOT Completed - NUR-111 Pre-Requisites</t>
  </si>
  <si>
    <t>Take All Courses:&lt;br /&gt;
&lt;br /&gt;
&lt;i&gt;Must have a grade of "C" or better in all curriculum courses and a grade of "B" or better in all NUR and BIO courses.&lt;/i&gt;</t>
  </si>
  <si>
    <t>[[BIO-165]], [[ENG-111]], [[MAT-143]]</t>
  </si>
  <si>
    <t>Other Major Courses:  NOT Completed - NUR-111 Pre-Requisites</t>
  </si>
  <si>
    <t>Take All Courses:&lt;br /&gt;
&lt;br /&gt;
&lt;i&gt;Must have a grade of "C" or better in all curriculum  courses.&lt;/i&gt;</t>
  </si>
  <si>
    <t>[[ENG-112]], [[SOC-210]]</t>
  </si>
  <si>
    <t>[[BIO-166]], [[PSY-241]]</t>
  </si>
  <si>
    <t>Humanities/Fine Arts:  NOT Completed - NUR-111 Pre-Requisites</t>
  </si>
  <si>
    <t>Take One (1) Course:*&lt;br /&gt;
&lt;br /&gt;
&lt;i&gt;Must have a grade of "C" or better in all curriculum  courses.&lt;/i&gt;&lt;br /&gt;
&lt;br /&gt;
&lt;i&gt;These courses are currently offered at RichmondCC. Transfer students, please see a counselor for more courses that could satisfy this requirement.&lt;/i&gt;&lt;br /&gt;
&lt;br /&gt;
*Associate Degree Nursing Majors who plan to obtain a BSN should take one of the following Humanities/Fine Arts electives:  ART 111, MUS 110, or PHI 240.</t>
  </si>
  <si>
    <t>Take All Courses:&lt;br /&gt;
&lt;br /&gt;
&lt;i&gt;Must have a grade of "B" or better in all and BIO courses.&lt;/i&gt;</t>
  </si>
  <si>
    <t>[[BIO-275]]</t>
  </si>
  <si>
    <t>Core Course:  NOT Completed - NUR-111 Pre-Requisites</t>
  </si>
  <si>
    <t>Take All Courses:&lt;br /&gt;
&lt;br /&gt;
&lt;i&gt;Must have a grade of "B" or better in all NUR  courses.&lt;/i&gt;</t>
  </si>
  <si>
    <t>[[NUR-111]]</t>
  </si>
  <si>
    <t>[[NUR-112]], [[NUR-114]]</t>
  </si>
  <si>
    <t>2nd Year - Summer</t>
  </si>
  <si>
    <t>[[NUR-113]]</t>
  </si>
  <si>
    <t>3rd Year - Fall</t>
  </si>
  <si>
    <t>[[NUR-211]], [[NUR-212]]</t>
  </si>
  <si>
    <t>3rd Year - Spring</t>
  </si>
  <si>
    <t>[[NUR-213]]</t>
  </si>
  <si>
    <t>&lt;b&gt;NUR-111 Pre-Requisites Completed&lt;/b&gt;</t>
  </si>
  <si>
    <t>Core Course:  Completed - NUR-111 Pre-Requisites</t>
  </si>
  <si>
    <t>Take All Courses:&lt;br /&gt;
&lt;br /&gt;
&lt;i&gt;Must have a grade of "B" or better in all BIO courses.&lt;/i&gt;</t>
  </si>
  <si>
    <t>Other Major Courses:  Completed - NUR-111 Pre-Requisites</t>
  </si>
  <si>
    <t>[[PSY-241]]</t>
  </si>
  <si>
    <t>A45340A</t>
  </si>
  <si>
    <t>Take All Courses:&lt;br /&gt;
&lt;br /&gt;
&lt;i&gt;Courses must be completed with a grade of "B" or better.&lt;/i&gt;</t>
  </si>
  <si>
    <t>[[BIO-163]], [[EMS-110]]</t>
  </si>
  <si>
    <t>[[EMS-122]], [[EMS-130]], [[EMS-131]], [[EMS-160]]</t>
  </si>
  <si>
    <t>[[EMS-220]], [[EMS-221]]</t>
  </si>
  <si>
    <t>[[EMS-231]], [[EMS-240]], [[EMS-250]], [[EMS-260]], [[EMS-270]]</t>
  </si>
  <si>
    <t>[[EMS-241]], [[EMS-285]]</t>
  </si>
  <si>
    <t>A45340B</t>
  </si>
  <si>
    <t>The Emergency Medical Science Bridging program is designed to allow a currently credentialed non-degreed Paramedic to earn a two-year Associate of Applied Science degree in Emergency Medical Science in two semesters.&lt;br /&gt;
&lt;br /&gt;
The prerequisites for admission to the EMS Bridging program include current credential/ certification in all of the following:&lt;br /&gt;
&lt;br /&gt;
&lt;ul&gt;
&lt;li&gt; North Carolina or National Registry Paramedic Credential
&lt;li&gt; American Heart Association Advanced Cardiac Life Support Certification
&lt;li&gt; American Heart Association Pediatric Advanced Life Support Certification (or NREMT equivalent)
&lt;li&gt; American Heart Association Basic Life Support Certification (or PHTLS)&lt;/ul&gt;
&lt;br /&gt;
These credentials/certifications provide 45 credit hours of advanced placement for students who are accepted into the program. Students will receive articulated credit for EMS 110, EMS 122, EMS 130, EMS 131, EMS 160, EMS 220, EMS 221, EMS 231, EMS 240, EMS 241, EMS 250, EMS 260, EMS 270, and EMS 285. To receive this articulation credit, the student must receive the recommendation of the EMS Program Coordinator.&lt;br /&gt;
&lt;br /&gt;</t>
  </si>
  <si>
    <t>[[ENG-111]], [[PSY-150]]</t>
  </si>
  <si>
    <t>[[EMS-280]]</t>
  </si>
  <si>
    <t>[[BIO-163]]</t>
  </si>
  <si>
    <t>[[EMS-235]]</t>
  </si>
  <si>
    <t>A45380A</t>
  </si>
  <si>
    <t>[[HSE-110]], [[HSE-123]], [[SAB-110]]</t>
  </si>
  <si>
    <t>[[ACA-122]], [[PSY-150]]</t>
  </si>
  <si>
    <t>[[SOC-210]]</t>
  </si>
  <si>
    <t>Mathematics/Natural Science</t>
  </si>
  <si>
    <t>Take one (1) course:</t>
  </si>
  <si>
    <t>[[BIO-110]], [[BIO-111]], [[MAT-143]], [[MAT-152]], [[MAT-171]]</t>
  </si>
  <si>
    <t>[[HSE-212]], [[HSE-223]], [[SAB-120]]</t>
  </si>
  <si>
    <t>Take one (1) Course:</t>
  </si>
  <si>
    <t>[[COM-120]], [[COM-231]], [[ENG-112]]</t>
  </si>
  <si>
    <t>Take One (1) Course:&lt;br /&gt;
&lt;br /&gt;
&lt;i&gt;These courses are currently offered online at RichmondCC.&lt;/i&gt;</t>
  </si>
  <si>
    <t>[[ART-111]], [[HUM-115]], [[MUS-110]], [[REL-110]]</t>
  </si>
  <si>
    <t>[[HSE-220]], [[SAB-240]]</t>
  </si>
  <si>
    <t>[[SOC-213]]</t>
  </si>
  <si>
    <t>[[ASL-111]], [[CIS-110]], [[GRO-120]], [[HSE-227]], [[HSE-242]], [[HSE-255]], [[MHA-140]], [[MHA-150]], [[MHA-238]], [[MHA-240]], [[PED-110]], [[POL-120]], [[PSY-241]], [[SPA-111]], [[SWK-110]], [[SWK-113]], [[SWK-115]], [[SWK-220]]</t>
  </si>
  <si>
    <t>[[HSE-210]], [[HSE-225]], [[SAB-135]], [[SAB-210]]</t>
  </si>
  <si>
    <t>[[WBL-110]], [[WBL-110A]]</t>
  </si>
  <si>
    <t>A45380B</t>
  </si>
  <si>
    <t>[[CAS-110]], [[HSE-110]], [[HSE-123]]</t>
  </si>
  <si>
    <t>[[CAS-120]], [[HSE-212]], [[HSE-223]]</t>
  </si>
  <si>
    <t>[[CAS-210]], [[HSE-220]]</t>
  </si>
  <si>
    <t>[[ASL-111]], [[CIS-110]], [[GRO-120]], [[HSE-227]], [[HSE-242]], [[HSE-255]], [[MHA-140]], [[MHA-150]], [[MHA-238]], [[MHA-240]], [[PED-110]], [[POL-120]], [[PSY-241]], [[SAB-110]], [[SAB-120]], [[SAB-135]], [[SAB-210]], [[SAB-240]], [[SPA-111]], [[SWK-110]], [[SWK-113]], [[SWK-115]], [[SWK-220]]</t>
  </si>
  <si>
    <t>[[CAS-220]], [[HSE-210]], [[HSE-225]]</t>
  </si>
  <si>
    <t>Program Elective III</t>
  </si>
  <si>
    <t>A45380C</t>
  </si>
  <si>
    <t>[[HSE-110]], [[HSE-123]]</t>
  </si>
  <si>
    <t>Core Concentration I</t>
  </si>
  <si>
    <t>[[MHA-140]], [[MHA-150]], [[MHA-238]], [[MHA-240]], [[SAB-110]], [[SAB-120]], [[SAB-135]], [[SAB-210]], [[SAB-240]], [[SWK-110]], [[SWK-113]], [[SWK-115]], [[SWK-220]]</t>
  </si>
  <si>
    <t>[[HSE-212]], [[HSE-223]]</t>
  </si>
  <si>
    <t>Core Concentration II</t>
  </si>
  <si>
    <t>[[HSE-220]]</t>
  </si>
  <si>
    <t>Core Concentration III</t>
  </si>
  <si>
    <t>[[HSE-210]], [[HSE-225]]</t>
  </si>
  <si>
    <t>Core Concentration IV</t>
  </si>
  <si>
    <t>A45380D</t>
  </si>
  <si>
    <t>[[HSE-110]], [[HSE-123]], [[MHA-140]]</t>
  </si>
  <si>
    <t>[[HSE-212]], [[HSE-223]], [[MHA-150]]</t>
  </si>
  <si>
    <t>[[HSE-220]], [[MHA-238]]</t>
  </si>
  <si>
    <t>[[ASL-111]], [[CIS-110]], [[GRO-120]], [[HSE-227]], [[HSE-242]], [[HSE-255]], [[PED-110]], [[POL-120]], [[PSY-241]], [[SAB-110]], [[SAB-120]], [[SAB-135]], [[SAB-210]], [[SAB-240]], [[SPA-111]], [[SWK-110]], [[SWK-113]], [[SWK-115]], [[SWK-220]]</t>
  </si>
  <si>
    <t>[[HSE-210]], [[HSE-225]], [[MHA-240]]</t>
  </si>
  <si>
    <t>A45380E</t>
  </si>
  <si>
    <t>[[HSE-110]], [[HSE-123]], [[SWK-110]]</t>
  </si>
  <si>
    <t>[[HSE-212]], [[HSE-223]], [[SWK-113]]</t>
  </si>
  <si>
    <t>[[HSE-220]], [[SWK-220]]</t>
  </si>
  <si>
    <t>[[ASL-111]], [[CIS-110]], [[GRO-120]], [[HSE-227]], [[HSE-242]], [[HSE-255]], [[MHA-140]], [[MHA-150]], [[MHA-238]], [[MHA-240]], [[PED-110]], [[POL-120]], [[PSY-241]], [[SAB-110]], [[SAB-120]], [[SAB-135]], [[SAB-210]], [[SAB-240]], [[SPA-111]]</t>
  </si>
  <si>
    <t>[[HSE-210]], [[HSE-225]], [[SWK-115]]</t>
  </si>
  <si>
    <t>A45400</t>
  </si>
  <si>
    <t>&lt;b&gt;&lt;i&gt;EFFECTIVE 2024 FALL:  THIS PROGRAM IS IN TEACH-OUT STATUS.&lt;br /&gt;
NO NEW STUDENTS WILL BE ENROLLED AFTER 2024 FALL.&lt;br /&gt;
CURRENT STUDENTS MUST COMPLETE THE PROGRAM BY 2026 SUMMER.&lt;/i&gt;&lt;/b&gt;&lt;br /&gt;
&lt;br /&gt;</t>
  </si>
  <si>
    <t>Take All Courses:&lt;br /&gt;
&lt;br /&gt;
&lt;i&gt;All BIO and MED Courses must be completed with a grade of "B" or better.&lt;/i&gt;</t>
  </si>
  <si>
    <t>[[MED-110]], [[MED-118]], [[MED-121]], [[MED-130]]</t>
  </si>
  <si>
    <t>[[CIS-110]], [[OST-131]]</t>
  </si>
  <si>
    <t>[[ENG-112]], [[MAT-143]]</t>
  </si>
  <si>
    <t>[[BIO-163]], [[MED-122]], [[MED-131]]</t>
  </si>
  <si>
    <t>[[MED-112]], [[MED-232]]</t>
  </si>
  <si>
    <t>[[MED-140]]</t>
  </si>
  <si>
    <t>[[MED-150]]</t>
  </si>
  <si>
    <t>[[MED-114]], [[MED-270]], [[MED-272]]</t>
  </si>
  <si>
    <t>[[ACC-115]], [[ACC-120]]</t>
  </si>
  <si>
    <t>[[MED-260]]</t>
  </si>
  <si>
    <t>[[MED-264]]</t>
  </si>
  <si>
    <t>A45720</t>
  </si>
  <si>
    <t>[[ENG-111]], [[BIO-163]]</t>
  </si>
  <si>
    <t>[[COM-120]], [[COM-231]]</t>
  </si>
  <si>
    <t>1</t>
  </si>
  <si>
    <t>A45730</t>
  </si>
  <si>
    <t>[[COM-120]], [[ENG-111]], [[PSY-150]]</t>
  </si>
  <si>
    <t>5</t>
  </si>
  <si>
    <t>[[COM-231]], [[MAT-143]], [[PSY-241]]</t>
  </si>
  <si>
    <t>[[ART-111]], [[ART-114]], [[ART-115]], [[DRA-111]], [[ENG-231]], [[ENG-232]], [[ENG-241]], [[ENG-242]], [[MUS-110]], [[MUS-112]], [[PHI-215]], [[PHI-240]]</t>
  </si>
  <si>
    <t>[[ASL-111]]</t>
  </si>
  <si>
    <t>A50510</t>
  </si>
  <si>
    <t>[[EUS-110]]</t>
  </si>
  <si>
    <t>[[EUS-130]], [[EUS-210]]</t>
  </si>
  <si>
    <t>[[ELC-117]], [[ELN-231]]</t>
  </si>
  <si>
    <t>[[EUS-215]], [[EUS-220]], [[EUS-230]], [[EUS-240]]</t>
  </si>
  <si>
    <t>[[ELN-229]], [[EUS-225]]</t>
  </si>
  <si>
    <t>[[EUS-235]], [[EUS-260]]</t>
  </si>
  <si>
    <t>[[ELC-128]], [[EUS-255]], [[PCI-172]]</t>
  </si>
  <si>
    <t>A55180</t>
  </si>
  <si>
    <t>[[CJC-111]]</t>
  </si>
  <si>
    <t>[[CJC-112]], [[CJC-131]]</t>
  </si>
  <si>
    <t>[[CJC-132]], [[CJC-141]], [[SOC-210]]</t>
  </si>
  <si>
    <t>[[CJC-113]], [[CJC-221]], [[CJC-231]]</t>
  </si>
  <si>
    <t>[[CJC-160]]</t>
  </si>
  <si>
    <t>[[CJC-121]], [[HIS-131]], [[HIS-132]], [[HSE-225]], [[HSE-227]], [[POL-120]], [[SPA-111]]</t>
  </si>
  <si>
    <t>[[CJC-212]]</t>
  </si>
  <si>
    <t>[[CJC-215]], [[CJC-222]], [[CJC-233]]</t>
  </si>
  <si>
    <t>A55220C</t>
  </si>
  <si>
    <t>[[EDU-119]], [[EDU-131]], [[EDU-144]], [[EDU-145]]</t>
  </si>
  <si>
    <t>[[EDU-146]], [[EDU-151]], [[EDU-153]]</t>
  </si>
  <si>
    <t>1-4</t>
  </si>
  <si>
    <t xml:space="preserve">[[ASL-111]], [[CIS-110]], [[EDU-114]], [[EDU-130]], [[EDU-150]], [[EDU-154]], [[EDU-157]], [[EDU-158]], [[EDU-159]], [[EDU-161]], [[EDU-162]], [[EDU-163]], [[EDU-173]], [[EDU-184]], [[EDU-187]], [[EDU-188]], [[EDU-216]], [[EDU-223]], [[EDU-235]], [[EDU-247]], [[EDU-248]], [[EDU-250]], [[EDU-259]], [[EDU-261]], [[EDU-262]], [[EDU-263]], [[EDU-275]], [[EDU-279]], [[PED-110]], [[WBL-111]], [[WBL-115]] </t>
  </si>
  <si>
    <t>[[EDU-221]], [[EDU-280]]</t>
  </si>
  <si>
    <t>[[MAT-143]]</t>
  </si>
  <si>
    <t>[[EDU-234]], [[EDU-284]]</t>
  </si>
  <si>
    <t>Program Elective IV</t>
  </si>
  <si>
    <t>Program Elective V</t>
  </si>
  <si>
    <t>A55220L</t>
  </si>
  <si>
    <t>[[ENG-112]], [[MAT-143]], [[PSY-150]]</t>
  </si>
  <si>
    <t>[[BIO-111]], [[COM-231]]</t>
  </si>
  <si>
    <t>[[ART-111]], [[MUS-110]], [[PHI-240]]</t>
  </si>
  <si>
    <t>[[EDU-221]], [[EDU-250]], [[EDU-280]]</t>
  </si>
  <si>
    <t>[[AST-111]], [[AST-111A]]</t>
  </si>
  <si>
    <t>[[ECO-251]], [[ECO-252]], [[HIS-111]], [[HIS-112]], [[HIS-131]], [[HIS-132]], [[POL-120]], [[SOC-210]]</t>
  </si>
  <si>
    <t>[[EDU-216]], [[EDU-234]], [[EDU-284]]</t>
  </si>
  <si>
    <t>A55220N</t>
  </si>
  <si>
    <t>[[EDU-234]], [[EDU-261]], [[EDU-262]], [[EDU-284]]</t>
  </si>
  <si>
    <t>A55260</t>
  </si>
  <si>
    <t>[[ENG-111]], [[MAT-143]], [[SOC-210]]</t>
  </si>
  <si>
    <t xml:space="preserve">[[BUS-230]] </t>
  </si>
  <si>
    <t>Accounting Required</t>
  </si>
  <si>
    <t>[[ACC-111]], [[ACC-120]]</t>
  </si>
  <si>
    <t>Business Required</t>
  </si>
  <si>
    <t>[[BUS-115]]</t>
  </si>
  <si>
    <t>A55470</t>
  </si>
  <si>
    <t>[[PSY-150]], [[SOC-210]], [[SOC-213]], [[SOC-240]]</t>
  </si>
  <si>
    <t xml:space="preserve">[[EME-111]], [[GIS-110]], [[PAD-151]] </t>
  </si>
  <si>
    <t>[[HUM-115]], [[HUM-120]], [[PHI-215]], [[PHI-240]], [[REL-110]]</t>
  </si>
  <si>
    <t>[[EME-112]], [[GIS-111]]</t>
  </si>
  <si>
    <t xml:space="preserve">[[CJC-212]], [[PAD-152]] </t>
  </si>
  <si>
    <t xml:space="preserve">[[WBL-111]], [[WBL-115]] </t>
  </si>
  <si>
    <t>[[EME-211]]</t>
  </si>
  <si>
    <t>[[BUS-153]], [[PAD-251]], [[POL-120]]</t>
  </si>
  <si>
    <t xml:space="preserve">[[CTI-120]], [[HSE-225]], [[PAD-252]] </t>
  </si>
  <si>
    <t xml:space="preserve">[[BUS-115]], [[BUS-217]] </t>
  </si>
  <si>
    <t>[[BUS-137]], [[PMT-110]], [[SOC-220]], [[SOC-225]]</t>
  </si>
  <si>
    <t>C25120</t>
  </si>
  <si>
    <r>
      <rPr>
        <sz val="10"/>
        <color rgb="FF000000"/>
        <rFont val="Verdana"/>
      </rPr>
      <t>See &lt;b&gt;</t>
    </r>
    <r>
      <rPr>
        <b/>
        <sz val="10"/>
        <color rgb="FF000000"/>
        <rFont val="Verdana"/>
      </rPr>
      <t>A25120GB Business Administration:  General Business&lt;/b&gt;</t>
    </r>
    <r>
      <rPr>
        <sz val="10"/>
        <color rgb="FF000000"/>
        <rFont val="Verdana"/>
      </rPr>
      <t xml:space="preserve"> degree program for course availability and recommended semester.</t>
    </r>
  </si>
  <si>
    <t xml:space="preserve">[[BUS-110]], [[BUS-115]], [[BUS-137]], [[CIS-110]], [[MKT-120]] </t>
  </si>
  <si>
    <t>Take One (1) Course:*&lt;br /&gt;
&lt;br /&gt;
*ECO-252 must be completed with a grade of "C" or better.</t>
  </si>
  <si>
    <t>[[ECO-251]], [[ECO-252]]*</t>
  </si>
  <si>
    <t>C25120E</t>
  </si>
  <si>
    <r>
      <rPr>
        <sz val="10"/>
        <color rgb="FF000000"/>
        <rFont val="Verdana"/>
      </rPr>
      <t>See &lt;b&gt;</t>
    </r>
    <r>
      <rPr>
        <b/>
        <sz val="10"/>
        <color rgb="FF000000"/>
        <rFont val="Verdana"/>
      </rPr>
      <t>A25120M Business Administration:  Marketing&lt;/b&gt;</t>
    </r>
    <r>
      <rPr>
        <sz val="10"/>
        <color rgb="FF000000"/>
        <rFont val="Verdana"/>
      </rPr>
      <t xml:space="preserve"> degree program for course availability and recommended semester.</t>
    </r>
  </si>
  <si>
    <t xml:space="preserve">[[ACC-120]], [[BUS-110]], [[MKT-120]] </t>
  </si>
  <si>
    <t xml:space="preserve">[[BUS-139]], [[BUS-230]] </t>
  </si>
  <si>
    <t>C25120HR</t>
  </si>
  <si>
    <t xml:space="preserve">[[BUS-137]], [[BUS-153]] </t>
  </si>
  <si>
    <t xml:space="preserve">[[BUS-217]], [[BUS-234]], [[BUS-256]], [[CTS-130]] </t>
  </si>
  <si>
    <t>C25120MK</t>
  </si>
  <si>
    <t xml:space="preserve">[[MKT-120]], [[MKT-223]], [[MKT-225]], [[MKT-227]], [[MKT-232]] </t>
  </si>
  <si>
    <t>C25200</t>
  </si>
  <si>
    <r>
      <rPr>
        <sz val="10"/>
        <color rgb="FF000000"/>
        <rFont val="Verdana"/>
      </rPr>
      <t>See &lt;b&gt;</t>
    </r>
    <r>
      <rPr>
        <b/>
        <sz val="10"/>
        <color rgb="FF000000"/>
        <rFont val="Verdana"/>
      </rPr>
      <t>A25200 Healthcare Management Technology</t>
    </r>
    <r>
      <rPr>
        <sz val="10"/>
        <color rgb="FF000000"/>
        <rFont val="Verdana"/>
      </rPr>
      <t xml:space="preserve"> &lt;/b&gt;degree program for course availability and recommended semester.</t>
    </r>
  </si>
  <si>
    <t>[[CIS-110]], [[HMT-110]], [[HMT-210]], [[HMT-215]], [[MED-121]], [[MED-122]]</t>
  </si>
  <si>
    <t>C25590A1</t>
  </si>
  <si>
    <r>
      <rPr>
        <sz val="10"/>
        <color rgb="FF000000"/>
        <rFont val="Verdana"/>
      </rPr>
      <t>See &lt;b&gt;</t>
    </r>
    <r>
      <rPr>
        <b/>
        <sz val="10"/>
        <color rgb="FF000000"/>
        <rFont val="Verdana"/>
      </rPr>
      <t>A25590A Information Technology:  Cyber Security</t>
    </r>
    <r>
      <rPr>
        <sz val="10"/>
        <color rgb="FF000000"/>
        <rFont val="Verdana"/>
      </rPr>
      <t xml:space="preserve"> &lt;/b&gt;degree program for course availability and recommended semester.</t>
    </r>
  </si>
  <si>
    <t>[[CTI-110]], [[CTI-120]], [[CTS-120]], [[SEC-110]], [[SEC-160]]</t>
  </si>
  <si>
    <t>[[NET-125]]</t>
  </si>
  <si>
    <t>C25590A2</t>
  </si>
  <si>
    <t>[[CTI-110]], [[CTI-120]], [[CTS-120]], [[SEC-110]]</t>
  </si>
  <si>
    <t>C25590B1</t>
  </si>
  <si>
    <r>
      <rPr>
        <sz val="10"/>
        <color rgb="FF000000"/>
        <rFont val="Verdana"/>
      </rPr>
      <t>See &lt;b&gt;</t>
    </r>
    <r>
      <rPr>
        <b/>
        <sz val="10"/>
        <color rgb="FF000000"/>
        <rFont val="Verdana"/>
      </rPr>
      <t>A25590B Information Technology:  IT Support</t>
    </r>
    <r>
      <rPr>
        <sz val="10"/>
        <color rgb="FF000000"/>
        <rFont val="Verdana"/>
      </rPr>
      <t xml:space="preserve"> &lt;/b&gt;degree program for course availability and recommended semester.</t>
    </r>
  </si>
  <si>
    <t>[[CTI-110]], [[CTI-120]], [[CTS-120]], [[CTS-220]]</t>
  </si>
  <si>
    <t>[[NET-125]], [[NOS-130]]</t>
  </si>
  <si>
    <t>C25590B2</t>
  </si>
  <si>
    <t>[[CTI-120]], [[CTS-120]], [[CTS-220]]</t>
  </si>
  <si>
    <t>[[NOS-130]]</t>
  </si>
  <si>
    <t>C25590C1</t>
  </si>
  <si>
    <r>
      <rPr>
        <sz val="10"/>
        <color rgb="FF000000"/>
        <rFont val="Verdana"/>
      </rPr>
      <t>See &lt;b&gt;</t>
    </r>
    <r>
      <rPr>
        <b/>
        <sz val="10"/>
        <color rgb="FF000000"/>
        <rFont val="Verdana"/>
      </rPr>
      <t>A25590C Information Technology:  Software and Web Development&lt;/b&gt;</t>
    </r>
    <r>
      <rPr>
        <sz val="10"/>
        <color rgb="FF000000"/>
        <rFont val="Verdana"/>
      </rPr>
      <t xml:space="preserve"> degree program for course availability and recommended semester.</t>
    </r>
  </si>
  <si>
    <t>[[CTI-110]]</t>
  </si>
  <si>
    <t>[[CIS-115]], [[DBA-120]], [[WEB-140]], [[WEB-141]], [[WEB-250]]</t>
  </si>
  <si>
    <t>C25590C2</t>
  </si>
  <si>
    <t>[[CSC-151]], [[CTI-110]], [[CTI-120]]</t>
  </si>
  <si>
    <t>[[CIS-115]], [[CSC-251]], [[WEB-140]]</t>
  </si>
  <si>
    <t>C25590C3</t>
  </si>
  <si>
    <t>[[CIS-115]], [[WEB-140]], [[WEB-141]]</t>
  </si>
  <si>
    <t>C25590D1</t>
  </si>
  <si>
    <t>[[CTI-120]], [[CTS-120]], [[SEC-110]]</t>
  </si>
  <si>
    <t>[[NET-125]], [[NOS-130]], [[NOS-230]]</t>
  </si>
  <si>
    <t>C25590D2</t>
  </si>
  <si>
    <t>[[CTI-120]], [[CTS-120]]</t>
  </si>
  <si>
    <t>C25800A</t>
  </si>
  <si>
    <r>
      <rPr>
        <sz val="10"/>
        <color rgb="FF000000"/>
        <rFont val="Verdana"/>
      </rPr>
      <t>See &lt;b&gt;</t>
    </r>
    <r>
      <rPr>
        <b/>
        <sz val="10"/>
        <color rgb="FF000000"/>
        <rFont val="Verdana"/>
      </rPr>
      <t>A25800 Accounting and Finance&lt;/b&gt;</t>
    </r>
    <r>
      <rPr>
        <sz val="10"/>
        <color rgb="FF000000"/>
        <rFont val="Verdana"/>
      </rPr>
      <t xml:space="preserve"> degree program for course availability and recommended semester.</t>
    </r>
  </si>
  <si>
    <t>[[ACC-120]], [[ACC-121]], [[CIS-110]]</t>
  </si>
  <si>
    <t>Group 1:&lt;br /&gt;
[[ECO-251]] &lt;i&gt;(Course must be completed with a grade of "C" or better.)&lt;/i&gt;&lt;br /&gt;
&lt;br /&gt;
Group 2:&lt;br /&gt;
[[ECO-252]]</t>
  </si>
  <si>
    <t>C25800B</t>
  </si>
  <si>
    <t xml:space="preserve">[[ACC-122]], [[ACC-150]], [[ACC-180]], [[BUS-121]] </t>
  </si>
  <si>
    <t>C25800C</t>
  </si>
  <si>
    <t xml:space="preserve">[[ACC-120]], [[CIS-110]], [[CTS-130]] </t>
  </si>
  <si>
    <t xml:space="preserve">[[ACC-140]], [[ACC-150]], [[BUS-217]] </t>
  </si>
  <si>
    <t>C25800D</t>
  </si>
  <si>
    <t>[[ACC-120]], [[ACC-129]], [[BUS-125]], [[CIS-110]]</t>
  </si>
  <si>
    <t>C35100C</t>
  </si>
  <si>
    <r>
      <rPr>
        <sz val="11"/>
        <color rgb="FF000000"/>
        <rFont val="Calibri"/>
      </rPr>
      <t>See &lt;b&gt;</t>
    </r>
    <r>
      <rPr>
        <b/>
        <sz val="11"/>
        <color rgb="FF000000"/>
        <rFont val="Calibri"/>
      </rPr>
      <t>A35100 Air Conditioning, Heating, and Refrigeration Technology&lt;/b&gt;</t>
    </r>
    <r>
      <rPr>
        <sz val="11"/>
        <color rgb="FF000000"/>
        <rFont val="Calibri"/>
      </rPr>
      <t xml:space="preserve"> degree program for course availability and recommended semester.</t>
    </r>
  </si>
  <si>
    <t>[[AHR-160]]</t>
  </si>
  <si>
    <t>C35100H</t>
  </si>
  <si>
    <t>[[AHR-110]], [[AHR-111]], [[AHR-112]], [[AHR-114]]</t>
  </si>
  <si>
    <t>C40160</t>
  </si>
  <si>
    <r>
      <rPr>
        <sz val="10"/>
        <color rgb="FF000000"/>
        <rFont val="Verdana"/>
      </rPr>
      <t>See &lt;b&gt;</t>
    </r>
    <r>
      <rPr>
        <b/>
        <sz val="10"/>
        <color rgb="FF000000"/>
        <rFont val="Verdana"/>
      </rPr>
      <t>A40160 Computer Engineering Technology&lt;/b&gt;</t>
    </r>
    <r>
      <rPr>
        <sz val="10"/>
        <color rgb="FF000000"/>
        <rFont val="Verdana"/>
      </rPr>
      <t xml:space="preserve"> degree program for course availability and recommended semester.</t>
    </r>
  </si>
  <si>
    <t>[[CTS-120]], [[ELC-131]], [[ELN-131]], [[ELN-133]]</t>
  </si>
  <si>
    <t>C40350</t>
  </si>
  <si>
    <r>
      <rPr>
        <sz val="10"/>
        <color rgb="FF000000"/>
        <rFont val="Verdana"/>
      </rPr>
      <t>See &lt;b&gt;</t>
    </r>
    <r>
      <rPr>
        <b/>
        <sz val="10"/>
        <color rgb="FF000000"/>
        <rFont val="Verdana"/>
      </rPr>
      <t>A40350 Mechatronics Engineering Technology&lt;/b&gt;</t>
    </r>
    <r>
      <rPr>
        <sz val="10"/>
        <color rgb="FF000000"/>
        <rFont val="Verdana"/>
      </rPr>
      <t xml:space="preserve"> degree program for course availability and recommended semester.</t>
    </r>
  </si>
  <si>
    <t>[[ELC-117]], [[ELC-131]], [[ELC-213]], [[ELN-260]]</t>
  </si>
  <si>
    <t>C45380A</t>
  </si>
  <si>
    <r>
      <rPr>
        <sz val="10"/>
        <color rgb="FF000000"/>
        <rFont val="Verdana"/>
      </rPr>
      <t>See &lt;b&gt;</t>
    </r>
    <r>
      <rPr>
        <b/>
        <sz val="10"/>
        <color rgb="FF000000"/>
        <rFont val="Verdana"/>
      </rPr>
      <t>A45380A Social and Human Services:  Addiction and Recovery&lt;/b&gt;</t>
    </r>
    <r>
      <rPr>
        <sz val="10"/>
        <color rgb="FF000000"/>
        <rFont val="Verdana"/>
      </rPr>
      <t xml:space="preserve"> degree program for course availability and recommended semester.</t>
    </r>
  </si>
  <si>
    <t>[[HSE-110]], [[HSE-123]], [[HSE-212]], [[HSE-225]], [[SAB-110]], [[SAB-135]]</t>
  </si>
  <si>
    <t>C45380B</t>
  </si>
  <si>
    <r>
      <rPr>
        <sz val="10"/>
        <color rgb="FF000000"/>
        <rFont val="Verdana"/>
      </rPr>
      <t>See &lt;b&gt;</t>
    </r>
    <r>
      <rPr>
        <b/>
        <sz val="10"/>
        <color rgb="FF000000"/>
        <rFont val="Verdana"/>
      </rPr>
      <t>A45380B Social and Human Services:  Chhild Advocacy Studies&lt;/b&gt;</t>
    </r>
    <r>
      <rPr>
        <sz val="10"/>
        <color rgb="FF000000"/>
        <rFont val="Verdana"/>
      </rPr>
      <t xml:space="preserve"> degree program for course availability and recommended semester.</t>
    </r>
  </si>
  <si>
    <t>[[CAS-110]], [[CAS-120]], [[CAS-210]], [[CAS-220]], [[HSE-110]], [[HSE-225]]</t>
  </si>
  <si>
    <t>C45380D</t>
  </si>
  <si>
    <r>
      <rPr>
        <sz val="10"/>
        <color rgb="FF000000"/>
        <rFont val="Verdana"/>
      </rPr>
      <t>See &lt;b&gt;</t>
    </r>
    <r>
      <rPr>
        <b/>
        <sz val="10"/>
        <color rgb="FF000000"/>
        <rFont val="Verdana"/>
      </rPr>
      <t>A45380D Social and Human Services:  Mental Health&lt;/b&gt;</t>
    </r>
    <r>
      <rPr>
        <sz val="10"/>
        <color rgb="FF000000"/>
        <rFont val="Verdana"/>
      </rPr>
      <t xml:space="preserve"> degree program for course availability and recommended semester.</t>
    </r>
  </si>
  <si>
    <t>[[HSE-110]], [[HSE-123]], [[HSE-212]], [[HSE-225]], [[MHA-140]], [[MHA-150]]</t>
  </si>
  <si>
    <t>C45380E</t>
  </si>
  <si>
    <r>
      <rPr>
        <sz val="10"/>
        <color rgb="FF000000"/>
        <rFont val="Verdana"/>
      </rPr>
      <t>See &lt;b&gt;</t>
    </r>
    <r>
      <rPr>
        <b/>
        <sz val="10"/>
        <color rgb="FF000000"/>
        <rFont val="Verdana"/>
      </rPr>
      <t>A45380E Social and Human Services:  Social Services&lt;/b&gt;</t>
    </r>
    <r>
      <rPr>
        <sz val="10"/>
        <color rgb="FF000000"/>
        <rFont val="Verdana"/>
      </rPr>
      <t xml:space="preserve"> degree program for course availability and recommended semester.</t>
    </r>
  </si>
  <si>
    <t>[[HSE-110]], [[HSE-123]], [[HSE-225]], [[SWK-110]], [[SWK-113]], [[SWK-115]]</t>
  </si>
  <si>
    <t>C45400</t>
  </si>
  <si>
    <r>
      <rPr>
        <sz val="10"/>
        <color rgb="FF000000"/>
        <rFont val="Verdana"/>
      </rPr>
      <t>See &lt;b&gt;</t>
    </r>
    <r>
      <rPr>
        <b/>
        <sz val="10"/>
        <color rgb="FF000000"/>
        <rFont val="Verdana"/>
      </rPr>
      <t>A45400 Medical Assisting&lt;/b&gt;</t>
    </r>
    <r>
      <rPr>
        <sz val="10"/>
        <color rgb="FF000000"/>
        <rFont val="Verdana"/>
      </rPr>
      <t xml:space="preserve"> degree program for course availability and recommended semester.</t>
    </r>
  </si>
  <si>
    <t>[[MED-110]], [[MED-118]], [[MED-121]], [[MED-122]], [[MED-130]], [[MED-131]]</t>
  </si>
  <si>
    <t>[[MED-232]]</t>
  </si>
  <si>
    <t>C50510</t>
  </si>
  <si>
    <r>
      <rPr>
        <sz val="10"/>
        <color rgb="FF000000"/>
        <rFont val="Verdana"/>
      </rPr>
      <t>See &lt;b&gt;</t>
    </r>
    <r>
      <rPr>
        <b/>
        <sz val="10"/>
        <color rgb="FF000000"/>
        <rFont val="Verdana"/>
      </rPr>
      <t>A50510 Electric Utility Substation and Relay Technology&lt;/b&gt;</t>
    </r>
    <r>
      <rPr>
        <sz val="10"/>
        <color rgb="FF000000"/>
        <rFont val="Verdana"/>
      </rPr>
      <t xml:space="preserve"> degree program for course availability and recommended semester.</t>
    </r>
  </si>
  <si>
    <t>[[EUS-110]], [[EUS-130]], [[EUS-210]]</t>
  </si>
  <si>
    <t>[[ELC-131]]</t>
  </si>
  <si>
    <t>C55180C</t>
  </si>
  <si>
    <r>
      <rPr>
        <sz val="10"/>
        <color rgb="FF000000"/>
        <rFont val="Verdana"/>
      </rPr>
      <t>See &lt;b&gt;</t>
    </r>
    <r>
      <rPr>
        <b/>
        <sz val="10"/>
        <color rgb="FF000000"/>
        <rFont val="Verdana"/>
      </rPr>
      <t>A55180 Criminal Justice Technology&lt;/b&gt;</t>
    </r>
    <r>
      <rPr>
        <sz val="10"/>
        <color rgb="FF000000"/>
        <rFont val="Verdana"/>
      </rPr>
      <t xml:space="preserve"> degree program for course availability and recommended semester.</t>
    </r>
  </si>
  <si>
    <t>[[CJC-111]], [[CJC-112]], [[CJC-113]], [[CJC-212]]</t>
  </si>
  <si>
    <t>[[CJC-141]], [[CJC-233]]</t>
  </si>
  <si>
    <t>C55180J</t>
  </si>
  <si>
    <t>[[HSE-225]], [[HSE-227]]</t>
  </si>
  <si>
    <t>C55180L</t>
  </si>
  <si>
    <t>[[CJC-121]], [[CJC-141]]</t>
  </si>
  <si>
    <t>C55220</t>
  </si>
  <si>
    <r>
      <rPr>
        <sz val="10"/>
        <color rgb="FF000000"/>
        <rFont val="Verdana"/>
      </rPr>
      <t>See &lt;b&gt;</t>
    </r>
    <r>
      <rPr>
        <b/>
        <sz val="10"/>
        <color rgb="FF000000"/>
        <rFont val="Verdana"/>
      </rPr>
      <t>A55220C Early Childhood Education&lt;/b&gt;</t>
    </r>
    <r>
      <rPr>
        <sz val="10"/>
        <color rgb="FF000000"/>
        <rFont val="Verdana"/>
      </rPr>
      <t xml:space="preserve"> degree program for course availability and recommended semester.</t>
    </r>
  </si>
  <si>
    <t>[[EDU-131]], [[EDU-144]], [[EDU-145]], [[EDU-221]]</t>
  </si>
  <si>
    <t>[[ACA-122]], [[EDU-216]]</t>
  </si>
  <si>
    <t>C55290</t>
  </si>
  <si>
    <t>[[EDU-119]], [[EDU-131]], [[EDU-144]]</t>
  </si>
  <si>
    <t>[[EDU-153]], [[EDU-234]]</t>
  </si>
  <si>
    <t>C55470</t>
  </si>
  <si>
    <r>
      <rPr>
        <sz val="11"/>
        <color rgb="FF000000"/>
        <rFont val="Calibri"/>
      </rPr>
      <t>See &lt;b&gt;</t>
    </r>
    <r>
      <rPr>
        <b/>
        <sz val="11"/>
        <color rgb="FF000000"/>
        <rFont val="Calibri"/>
      </rPr>
      <t xml:space="preserve">A55470 911 Communications and Operations&lt;/b&gt; </t>
    </r>
    <r>
      <rPr>
        <sz val="11"/>
        <color rgb="FF000000"/>
        <rFont val="Calibri"/>
      </rPr>
      <t>degree program for course availibilty and recommended semester.</t>
    </r>
  </si>
  <si>
    <t>[[EME-111]], [[EME-112]], [[EME-211]], [[GIS-110]], [[GIS-111]]</t>
  </si>
  <si>
    <t>C55490</t>
  </si>
  <si>
    <t>&lt;b&gt;The Residency Certificate and courses (EDU-270, EDU-272, EDU-277, EDU-278, and EDU-283) are only available to individuals who already have earned a Bachelor's degree in a non-education field and are employed as a teacher in a K-6 school.&lt;/b&gt;&lt;br /&gt;
&lt;br /&gt;</t>
  </si>
  <si>
    <t>[[EDU-270]], [[EDU-277]]</t>
  </si>
  <si>
    <t>[[EDU-278]], [[EDU-279]]</t>
  </si>
  <si>
    <t>[[EDU-272]]</t>
  </si>
  <si>
    <t>[[EDU-283]]</t>
  </si>
  <si>
    <t>C55850</t>
  </si>
  <si>
    <r>
      <rPr>
        <sz val="10"/>
        <color rgb="FF000000"/>
        <rFont val="Verdana"/>
      </rPr>
      <t>See &lt;b&gt;</t>
    </r>
    <r>
      <rPr>
        <b/>
        <sz val="10"/>
        <color rgb="FF000000"/>
        <rFont val="Verdana"/>
      </rPr>
      <t>A55220 Early Childhood Education&lt;/b&gt;</t>
    </r>
    <r>
      <rPr>
        <sz val="10"/>
        <color rgb="FF000000"/>
        <rFont val="Verdana"/>
      </rPr>
      <t xml:space="preserve"> degree program for course availability and recommended semester.</t>
    </r>
  </si>
  <si>
    <t>[[EDU-119]], [[EDU-131]], [[EDU-153]], [[EDU-261]], [[EDU-262]]</t>
  </si>
  <si>
    <t>C55860</t>
  </si>
  <si>
    <t>[[EDU-119]], [[EDU-131]], [[EDU-145]], [[EDU-146]], [[EDU-153]]</t>
  </si>
  <si>
    <t>D25590A</t>
  </si>
  <si>
    <t>[[CTI-110]], [[CTI-120]], [[CTS-115]], [[CTS-120]], [[SEC-110]], [[SEC-160]]</t>
  </si>
  <si>
    <t>[[CTS-220]], [[NET-125]], [[NOS-120]], [[NOS-130]], [[NOS-230]], [[WEB-140]]</t>
  </si>
  <si>
    <t>D25590B</t>
  </si>
  <si>
    <t>[[CTI-110]], [[CTI-120]], [[CTS-115]], [[CTS-120]], [[CTS-155]], [[CTS-220]]</t>
  </si>
  <si>
    <t>[[CIS-110]], [[NET-125]], [[NOS-120]], [[NOS-130]], [[NOS-230]], [[SEC-110]]</t>
  </si>
  <si>
    <t>D25590C</t>
  </si>
  <si>
    <t>[[CSC-151]], [[CTI-110]], [[CTI-120]], [[CTS-115]], [[CTS-120]], [[DBA-120]]</t>
  </si>
  <si>
    <t>[[CIS-115]], [[CSC-251]], [[NOS-120]], [[WEB-140]], [[WEB-141]], [[WEB-250]]</t>
  </si>
  <si>
    <t>D25590E</t>
  </si>
  <si>
    <r>
      <rPr>
        <sz val="10"/>
        <color rgb="FF000000"/>
        <rFont val="Verdana"/>
      </rPr>
      <t>See &lt;b&gt;</t>
    </r>
    <r>
      <rPr>
        <b/>
        <sz val="10"/>
        <color rgb="FF000000"/>
        <rFont val="Verdana"/>
      </rPr>
      <t>A25590E Information Technology:  Support - Healthcare&lt;/b&gt;</t>
    </r>
    <r>
      <rPr>
        <sz val="10"/>
        <color rgb="FF000000"/>
        <rFont val="Verdana"/>
      </rPr>
      <t xml:space="preserve"> degree program for course availability and recommended semester.</t>
    </r>
  </si>
  <si>
    <t>[[CTI-110]], [[CTI-120]], [[CTS-115]], [[CTS-120]], [[DBA-120]], [[HBI-110]]</t>
  </si>
  <si>
    <t>[[CTS-155]], [[CTS-220]], [[NET-125]], [[NOS-120]], [[NOS-130]], [[SEC-110]]</t>
  </si>
  <si>
    <t>D35100</t>
  </si>
  <si>
    <t>[[ENG-102]]</t>
  </si>
  <si>
    <t>[[AHR-110]], [[AHR-111]], [[AHR-112]], [[AHR-113]], [[AHR-114]]</t>
  </si>
  <si>
    <t>[[AHR-151]], [[AHR-160]], [[AHR-180]], [[CIS-110]]</t>
  </si>
  <si>
    <t>D45660</t>
  </si>
  <si>
    <t>[[NUR-101]]</t>
  </si>
  <si>
    <t>[[BIO-165]]</t>
  </si>
  <si>
    <t>[[NUR-102]]</t>
  </si>
  <si>
    <t>[[BIO-166]]</t>
  </si>
  <si>
    <t>[[NUR-103]]</t>
  </si>
  <si>
    <t>D50510</t>
  </si>
  <si>
    <t>[[EUS-110]], [[EUS-130]], [[EUS-210]], [[EUS-215]], [[EUS-240]]</t>
  </si>
  <si>
    <t>[[EUS-225]]</t>
  </si>
  <si>
    <t>D55180</t>
  </si>
  <si>
    <t>[[CJC-111]], [[CJC-112]], [[CJC-113]], [[CJC-131]], [[CJC-212]], [[CJC-221]], [[CJC-231]]</t>
  </si>
  <si>
    <t>Take Three (3) Courses:</t>
  </si>
  <si>
    <t>[[CJC-132]], [[CJC-141]], [[CJC-160]], [[CJC-215]], [[CJC-233]]</t>
  </si>
  <si>
    <t>D55470</t>
  </si>
  <si>
    <t xml:space="preserve">[[EME-111]], [[EME-112]], [[EME-211]], [[GIS-110]], [[GIS-111]], [[PAD-151]] </t>
  </si>
  <si>
    <t>[[ACA-122]], [[PAD-251]], [[PAD-252]], [[POL-120]]</t>
  </si>
  <si>
    <t>Course</t>
  </si>
  <si>
    <t>Course Title</t>
  </si>
  <si>
    <t>Department</t>
  </si>
  <si>
    <t>Offered Fall</t>
  </si>
  <si>
    <t>Offered Spring</t>
  </si>
  <si>
    <t>Offered Summer</t>
  </si>
  <si>
    <t>Credit Hours</t>
  </si>
  <si>
    <t>CLASS</t>
  </si>
  <si>
    <t>LAB</t>
  </si>
  <si>
    <t>CLINC</t>
  </si>
  <si>
    <t>WORK</t>
  </si>
  <si>
    <t>Course Description</t>
  </si>
  <si>
    <t>(Deleted:  Student Learning Outcomes)</t>
  </si>
  <si>
    <t>(Deleted:  Textbook)</t>
  </si>
  <si>
    <t>Disclaimer</t>
  </si>
  <si>
    <t>ACA-115</t>
  </si>
  <si>
    <t>Success &amp; Study Skills</t>
  </si>
  <si>
    <t>College Success (ACA)</t>
  </si>
  <si>
    <t>true</t>
  </si>
  <si>
    <t>false</t>
  </si>
  <si>
    <t>This course provides an orientation to the campus resources and academic skills necessary to achieve educational objectives. Emphasis is placed on an exploration of facilities and services, study skills, library skills, self-assessment, wellness, goal-setting, and critical thinking. Upon completion, students should be able to manage their learning experiences to successfully meet educational goals.&lt;br /&gt;
&lt;br /&gt;</t>
  </si>
  <si>
    <t>***Please refer to the online version of the Richmond Community College Program &amp; Course Catalog and the Student Handbook for current academic and general policies.***</t>
  </si>
  <si>
    <t>ACA-122</t>
  </si>
  <si>
    <t>College Transfer Success</t>
  </si>
  <si>
    <t>This course provides information and strategies necessary to develop clear academic and professional goals beyond the community college experience. Topics include the CAA, college policies and culture, career exploration, gathering information on senior institutions, strategic planning, critical thinking, and communications skills for a successful academic transition. Upon completion, students should be able to develop an academic plan to transition successfully to senior institutions.&lt;br /&gt;
&lt;br /&gt;
&lt;i&gt;Note:  In accordance with the Comprehensive Articulation Agreement, this course has been approved to satisfy the pre-major/elective requirement in A.A. and A.S. degree programs.&lt;/i&gt;&lt;br /&gt;
&lt;br /&gt;</t>
  </si>
  <si>
    <t>ACC-111</t>
  </si>
  <si>
    <t>Financial Accounting</t>
  </si>
  <si>
    <t>Accounting (ACC)</t>
  </si>
  <si>
    <t>This course introduces the basic framework of accounting. Emphasis is placed on the accounting cycle and financial statement preparation and analysis. Upon completion, students should be able to demonstrate an understanding of the principles involved and display an analytical problem-solving ability for the topics covered.&lt;br /&gt;&lt;br /&gt;</t>
  </si>
  <si>
    <t>ACC-115</t>
  </si>
  <si>
    <t>College Accounting</t>
  </si>
  <si>
    <t>This course introduces basic accounting principles for a business. Topics include the complete accounting cycle with end-of-period statements, bank reconciliation, payrolls, and petty cash. Upon completion, students should be able to demonstrate an understanding of accounting principles and apply those skills to a business organization. This course is not intended as a substitute for ACC 120.&lt;br /&gt;
&lt;br /&gt;</t>
  </si>
  <si>
    <t>ACC-120</t>
  </si>
  <si>
    <t>Principles of Financial Accounting</t>
  </si>
  <si>
    <t>This course introduces business decision-making using accounting information systems. Emphasis is placed on analyzing, summarizing, reporting, and interpreting financial information. Upon completion, students should be able to prepare financial statements, understand the role of financial information in decision-making and address ethical considerations.&lt;br /&gt;
&lt;br /&gt;
&lt;i&gt;Note:  In accordance with the Comprehensive Articulation Agreement, this course has been approved to satisfy the pre-major/elective requirement in A.A. and A.S. degree programs.&lt;/i&gt;&lt;br /&gt;</t>
  </si>
  <si>
    <t>ACC-121</t>
  </si>
  <si>
    <t>Principles of Managerial Accounting</t>
  </si>
  <si>
    <t>This course includes a greater emphasis on managerial and cost accounting skills. Emphasis is placed on managerial accounting concepts for external and internal analysis, reporting and decision-making. Upon completion, students should be able to analyze and interpret transactions relating to managerial concepts including product-costing systems.&lt;br /&gt;
&lt;br /&gt;
&lt;i&gt;Note:  In accordance with the Comprehensive Articulation Agreement, this course has been approved to satisfy the pre-major/elective requirement in A.A. and A.S. degree programs.&lt;/i&gt;&lt;br /&gt;</t>
  </si>
  <si>
    <t>ACC-122</t>
  </si>
  <si>
    <t>Principles of Financial Accounting II</t>
  </si>
  <si>
    <t>This course provides additional instruction in the financial accounting concepts and procedures introduced in ACC 120. Emphasis is placed on the analysis of specific balance sheet accounts, with in-depth instruction of the accounting principles applied to these accounts. Upon completion, students should be able to analyze data, prepare journal entries, and prepare reports in compliance with generally accepted accounting principles.&lt;br /&gt;
&lt;br /&gt;</t>
  </si>
  <si>
    <t>ACC-129</t>
  </si>
  <si>
    <t>Individual Income Taxes</t>
  </si>
  <si>
    <t>This course introduces the relevant laws governing individual income taxation. Topics include tax law, electronic research and methodologies, and the use of technology for preparation of individual tax returns. Upon completion, students should be able to analyze basic tax scenarios, research applicable tax law, and complete various individual tax forms.</t>
  </si>
  <si>
    <t>ACC-130</t>
  </si>
  <si>
    <t>Business Income Taxes</t>
  </si>
  <si>
    <t>This course introduces the relevant laws governing business and fiduciary income taxes. Topics include tax law relating to business organizations, electronic research and methodologies, and the use of technology for the preparation of business tax returns. Upon completion, students should be able to analyze basic tax scenarios, research applicable tax law, and complete various business tax forms.&lt;br /&gt;&lt;br /&gt;</t>
  </si>
  <si>
    <t>ACC-140</t>
  </si>
  <si>
    <t>Payroll Accounting</t>
  </si>
  <si>
    <t>This course covers federal and state laws pertaining to wages, payroll taxes, payroll tax forms, and journal and general ledger transactions. Emphasis is placed on computing wages; calculating social security, income, and unemployment taxes; preparing appropriate payroll tax forms; and journalizing/posting transactions. Upon completion, students should be able to analyze data, make appropriate computations, complete forms, and prepare accounting entries using appropriate technology.&lt;br /&gt;&lt;br /&gt;</t>
  </si>
  <si>
    <t>ACC-150</t>
  </si>
  <si>
    <t>Accounting Software Applications</t>
  </si>
  <si>
    <t>This course introduces microcomputer applications related to accounting systems. Topics include general ledger, accounts receivable, accounts payable, inventory, payroll, and correcting, adjusting, and closing entries. Upon completion, students should be able to use a computer accounting package to accurately solve accounting problems.&lt;br /&gt;&lt;br /&gt;</t>
  </si>
  <si>
    <t>ACC-180</t>
  </si>
  <si>
    <t>Practices in Bookkeeping</t>
  </si>
  <si>
    <t>This course provides advanced instruction in bookkeeping and record-keeping functions. Emphasis is placed on mastering adjusting entries, correction of errors, depreciation, payroll, and inventory. Upon completion, students should be able to conduct all key bookkeeping functions for small businesses.&lt;br /&gt;&lt;br /&gt;</t>
  </si>
  <si>
    <t>ACC-220</t>
  </si>
  <si>
    <t>Intermediate Accounting I</t>
  </si>
  <si>
    <t>This course is a continuation of the study of accounting principles with in-depth coverage of theoretical concepts and financial statements. Topics include generally accepted accounting principles and extensive analysis of balance sheet components. Upon completion, students should be able to demonstrate competence in the conceptual framework underlying financial accounting, including the application of financial standards.&lt;br /&gt;&lt;br /&gt;</t>
  </si>
  <si>
    <t>ACC-221</t>
  </si>
  <si>
    <t>Intermediate Accounting II</t>
  </si>
  <si>
    <t>This course is a continuation of ACC 220. Emphasis is placed on special problems which may include leases, bonds, investments, ratio analyses, present value applications, accounting changes, and corrections. Upon completion, students should be able to demonstrate an understanding of the principles involved and display an analytical problem-solving ability for the topics covered.&lt;br /&gt;&lt;br /&gt;</t>
  </si>
  <si>
    <t>ACC-225</t>
  </si>
  <si>
    <t>Cost Accounting</t>
  </si>
  <si>
    <t>This course introduces the nature and purposes of cost accounting as an information system for planning and control. Topics include direct materials, direct labor, factory overhead, process, job order, and standard cost systems. Upon completion, students should be able to demonstrate an understanding of the principles involved and display an analytical problem-solving ability for the topics covered.&lt;br /&gt;&lt;br /&gt;</t>
  </si>
  <si>
    <t>AHR-110</t>
  </si>
  <si>
    <t>Introduction to Refrigeration</t>
  </si>
  <si>
    <t>Air Conditioning, Heating and Refrigeration (AHR)</t>
  </si>
  <si>
    <t>This course introduces the basic refrigeration process used in mechanical refrigeration and air conditioning systems. Topics include terminology, safety, and identification and function of components; refrigeration cycle; and tools and instrumentation used in mechanical refrigeration systems. Upon completion, students should be able to identify refrigeration systems and components, explain the refrigeration process, and use the tools and instrumentation of the trade.&lt;br /&gt;&lt;br /&gt;</t>
  </si>
  <si>
    <t>AHR-111</t>
  </si>
  <si>
    <t>HVACR Electricity</t>
  </si>
  <si>
    <t>This course introduces electricity as it applies to HVACR equipment. Emphasis is placed on power sources, interaction of electrical components, wiring of simple circuits, and the use of electrical test equipment. Upon completion, students should be able to demonstrate good wiring practices and the ability to read simple wiring diagrams.&lt;br /&gt;&lt;br /&gt;</t>
  </si>
  <si>
    <t>AHR-112</t>
  </si>
  <si>
    <t>Heating Technology</t>
  </si>
  <si>
    <t>This course covers the fundamentals of heating including oil, gas, and electric heating systems. Topics include safety, tools and instrumentation, system operating characteristics, installation techniques, efficiency testing, electrical power, and control systems. Upon completion, students should be able to explain the basic oil, gas, and electrical heating systems and describe the major components of a heating system.&lt;br /&gt;&lt;br /&gt;</t>
  </si>
  <si>
    <t>AHR-113</t>
  </si>
  <si>
    <t>Comfort Cooling</t>
  </si>
  <si>
    <t>This course covers the installation procedures, system operations, and maintenance of residential and light commercial comfort cooling systems. Topics include terminology, component operation, and testing and repair of equipment used to control and produce assured comfort levels. Upon completion, students should be able to use psychometrics, manufacturer specifications, and test instruments to determine proper system operation.&lt;br /&gt;&lt;br /&gt;</t>
  </si>
  <si>
    <t>AHR-114</t>
  </si>
  <si>
    <t>Heat Pump Technology</t>
  </si>
  <si>
    <t>This course covers the principles of air source and water source heat pumps. Emphasis is placed on safety, modes of operation, defrost systems, refrigerant charging, and system performance. Upon completion, students should be able to understand and analyze system performance and perform routine service procedures.&lt;br /&gt;&lt;br /&gt;</t>
  </si>
  <si>
    <t>AHR-115</t>
  </si>
  <si>
    <t>Refrigeration Systems</t>
  </si>
  <si>
    <t>This course introduces refrigeration systems and applications. Topics include defrost methods, safety and operational control, refrigerant piping, refrigerant recovery and charging, and leak testing. Upon completion, students should be able to assist in installing and testing refrigeration systems and perform simple repairs.&lt;br /&gt;&lt;br /&gt;</t>
  </si>
  <si>
    <t>AHR-120</t>
  </si>
  <si>
    <t>HVACR Maintenance</t>
  </si>
  <si>
    <t>This course introduces the basic principles of industrial air conditioning and heating systems. Emphasis is placed on preventive maintenance procedures for heating and cooling equipment and related components. Upon completion, students should be able to perform routine preventive maintenance tasks, maintain records, and assist in routine equipment repairs.&lt;br /&gt;&lt;br /&gt;</t>
  </si>
  <si>
    <t>AHR-130</t>
  </si>
  <si>
    <t>HVAC Controls</t>
  </si>
  <si>
    <t>This course covers the types of controls found in residential and commercial comfort systems. Topics include electrical and electronic controls, control schematics and diagrams, test instruments, and analysis and troubleshooting of electrical systems. Upon completion, students should be able to diagnose and repair common residential and commercial comfort system controls.&lt;br /&gt;&lt;br /&gt;</t>
  </si>
  <si>
    <t>AHR-151</t>
  </si>
  <si>
    <t>HVAC Duct Systems I</t>
  </si>
  <si>
    <t>This course introduces the techniques used to lay out and fabricate duct work commonly found in HVAC systems. Emphasis is placed on the skills required to fabricate duct work. Upon completion, students should be able to layout and fabricate simple duct work.&lt;br /&gt;&lt;br /&gt;</t>
  </si>
  <si>
    <t>AHR-160</t>
  </si>
  <si>
    <t>Refrigerant Certification</t>
  </si>
  <si>
    <t>This course covers the requirements for the EPA certification examinations. Topics include small appliances, high pressure systems, and low pressure systems. Upon completion, students should be able to demonstrate knowledge of refrigerants and be prepared for the EPA certification examinations.&lt;br /&gt;&lt;br /&gt;</t>
  </si>
  <si>
    <t>AHR-180</t>
  </si>
  <si>
    <t>HVACR Customer Relations</t>
  </si>
  <si>
    <t>This course introduces common business and customer relation practices that may be encountered in HVACR. Topics include business practices, appearance of self and vehicle, ways of handling customer complaints, invoices, telephone communications, and warranties. Upon completion, students should be able to present themselves to customers in a professional manner, understand how the business operates, complete invoices, and handle complaints.&lt;br /&gt;&lt;br /&gt;</t>
  </si>
  <si>
    <t>AHR-211</t>
  </si>
  <si>
    <t>Residential System Design</t>
  </si>
  <si>
    <t>This course introduces the principles and concepts of conventional residential heating and cooling system design. Topics include heating and cooling load estimating, basic psychometrics, equipment selection, duct system selection, and system design. Upon completion, students should be able to design a basic residential heating and cooling system.&lt;br /&gt;&lt;br /&gt;</t>
  </si>
  <si>
    <t>AHR-212</t>
  </si>
  <si>
    <t>Advanced Comfort Systems</t>
  </si>
  <si>
    <t>This course covers water-cooled comfort systems, water-source/geothermal heat pumps, and high efficiency heat pump systems including variable speed drives and controls. Emphasis is placed on the application, installation, and servicing of water-source systems and the mechanical and electronic control components of advanced comfort systems. Upon completion, students should be able to test, analyze, and troubleshoot water-cooled comfort systems, water-source/geothermal heat pumps, and high efficiency heat pumps.&lt;br /&gt;&lt;br /&gt;</t>
  </si>
  <si>
    <t>AHR-213</t>
  </si>
  <si>
    <t>HVACR Building Code</t>
  </si>
  <si>
    <t>This course covers the North Carolina codes that are applicable to the design and installation of HVACR systems. Topics include current North Carolina codes as applied to HVACR design, service, and installation. Upon completion, students should be able to demonstrate the correct usage of North Carolina codes that apply to specific areas of the HVACR trade.&lt;br /&gt;&lt;br /&gt;</t>
  </si>
  <si>
    <t>AHR-235</t>
  </si>
  <si>
    <t>Refrigeration Design</t>
  </si>
  <si>
    <t>This course covers the principles of commercial refrigeration system operation and design. Topics include walk-in coolers, walk-in freezers, system components, load calculations, equipment selection, defrost systems, refrigerant line sizing, and electric controls. Upon completion, students should be able to design, adjust, and perform routine service procedures on a commercial refrigeration system.&lt;br /&gt;&lt;br /&gt;</t>
  </si>
  <si>
    <t>ANT-220</t>
  </si>
  <si>
    <t>Cultural Anthropology</t>
  </si>
  <si>
    <t>Anthropology (ANT)</t>
  </si>
  <si>
    <t>This course introduces the nature of human culture. Emphasis is placed on cultural theory, methods of fieldwork, and cross-cultural comparisons in the areas of ethnology, language, and the cultural past. Upon completion, students should be able to demonstrate an understanding of basic cultural processes and how cultural data are collected and analyzed.&lt;br /&gt;
&lt;br /&gt;
&lt;i&gt;This course has been approved for transfer under the CAA as a general education course in Social/Behavioral Sciences. This course has been approved for transfer under the ICAA as a general education course in Social/Behavioral Sciences.&lt;/i&gt;&lt;br /&gt;&lt;br /&gt;</t>
  </si>
  <si>
    <t>ART-111</t>
  </si>
  <si>
    <t>Art Appreciation</t>
  </si>
  <si>
    <t>Art (ART)</t>
  </si>
  <si>
    <t>This course introduces the origins and historical development of art. Emphasis is placed on the relationship of design principles to various art forms including but not limited to sculpture, painting, and architecture. Upon completion, students should be able to identify and analyze a variety of artistic styles, periods, and media.&lt;br /&gt;
&lt;br /&gt;
&lt;i&gt;Note:  In accordance with the Comprehensive Articulation Agreement, this course has been approved to satisfy the Universal General Education Transfer Component requirement for humanities/fine arts in A.A. and A.S. degree programs. This course has been approved to meet the humanities/fine arts requirement for A.A.S. degree programs.&lt;/i&gt;&lt;br /&gt;&lt;br /&gt;</t>
  </si>
  <si>
    <t>ART-114</t>
  </si>
  <si>
    <t>Art History Survey I</t>
  </si>
  <si>
    <t>This course covers the development of art forms from ancient times to the Renaissance. Emphasis is placed on content, terminology, design, and style. Upon completion, students should be able to demonstrate an historical understanding of art as a product reflective of human social development.&lt;br /&gt;
&lt;br /&gt;
&lt;i&gt;Note:  This course has been approved for transfer under the CAA as a premajor and/or elective course requirement. This course has been approved for transfer under the ICAA as a premajor and/or elective course requirement.&lt;/i&gt;&lt;br /&gt;&lt;br /&gt;</t>
  </si>
  <si>
    <t>ART-115</t>
  </si>
  <si>
    <t>Art History Survey II</t>
  </si>
  <si>
    <t>This course covers the development of art forms from the Renaissance to the present. Emphasis is placed on content, terminology, design, and style. Upon completion, students should be able to demonstrate an historical understanding of art as a product reflective of human social development.&lt;br /&gt;
&lt;br /&gt;
&lt;i&gt;Note:  In accordance with the Comprehensive Articulation Agreement, this course has been approved to satisfy the Universal General Education Transfer Component requirement for humanities/fine arts in A.A. and A.S. degree programs. This course has been approved to meet the humanities/fine arts requirement for A.A.S. degree programs.&lt;/i&gt;&lt;br /&gt;&lt;br /&gt;</t>
  </si>
  <si>
    <t>ART-121</t>
  </si>
  <si>
    <t>Two-Dimensional Design</t>
  </si>
  <si>
    <t>This course introduces the elements and principles of design as applied to two-dimensional art. Emphasis is placed on the structural elements, the principles of visual organization, and the theories of color mixing and interaction. Upon completion, students should be able to understand and use critical and analytical approaches as they apply to two-dimensional visual art.&lt;br /&gt;
&lt;br /&gt;
&lt;i&gt;Note:  This course has been approved for transfer under the CAA as a premajor and/or elective course requirement. This course has been approved for transfer under the ICAA as a premajor and/or elective course requirement.&lt;/i&gt;&lt;br /&gt;&lt;br /&gt;</t>
  </si>
  <si>
    <t>ART-122</t>
  </si>
  <si>
    <t>Three-Dimensional Design</t>
  </si>
  <si>
    <t>This course introduces basic studio problems in three-dimensional visual design. Emphasis is placed on the structural elements and organizational principles as applied to mass and space. Upon completion, students should be able to apply three-dimensional design concepts.&lt;br /&gt;
&lt;br /&gt;
&lt;i&gt;Note:  This course has been approved for transfer under the CAA as a premajor and/or elective course requirement. This course has been approved for transfer under the ICAA as a premajor and/or elective course requirement.&lt;/i&gt;&lt;br /&gt;&lt;br /&gt;</t>
  </si>
  <si>
    <t>ART-131</t>
  </si>
  <si>
    <t>Drawing I</t>
  </si>
  <si>
    <t>This course introduces the language of drawing and the use of various drawing materials. Emphasis is placed on drawing techniques, media, and graphic principles. Upon completion, students should be able to demonstrate competence in the use of graphic form and various drawing processes.&lt;br /&gt;
&lt;br /&gt;
&lt;i&gt;Note:  In accordance with the Comprehensive Articulation Agreement, this course has been approved to satisfy the pre-major/elective requirement in A.A. and A.S. degree programs. Thiscourse has been approved to meet the humanities/fine arts requirement in A.A.S. degree programs.&lt;/i&gt;&lt;br /&gt;&lt;br /&gt;</t>
  </si>
  <si>
    <t>ART-171</t>
  </si>
  <si>
    <t>Digital Design I</t>
  </si>
  <si>
    <t>This course is designed to introduce students to the elements and principles of design through the use of digital software. Emphasis is placed on developing composition and design skills using vector, raster, and time-based media. Upon completion, students should be able to identify and use tools in digital software, understand and utilize digital and artistic vocabulary, and employ the principles and elements of design to create artwork using digital means.&lt;br /&gt;
&lt;br /&gt;
&lt;i&gt;Note:  This course has been approved for transfer under the CAA as a premajor and/or elective course requirement. This course has been approved for transfer under the ICAA as a premajor and/or elective course requirement.&lt;/i&gt;&lt;br /&gt;&lt;br /&gt;</t>
  </si>
  <si>
    <t>ART-240</t>
  </si>
  <si>
    <t>Painting I</t>
  </si>
  <si>
    <t>This course introduces the language of painting and the use of various painting materials. Emphasis is placed on the understanding and use of various painting techniques, media, and color principles. Upon completion, students should be able to demonstrate competence in the use of creative processes directed toward the development of expressive form.&lt;br /&gt;
&lt;br /&gt;
&lt;i&gt;Note:  This course has been approved for transfer under the CAA as a premajor and/or elective course requirement. This course has been approved for transfer under the ICAA as a premajor and/or elective course requirement.&lt;/i&gt;&lt;br /&gt;&lt;br /&gt;</t>
  </si>
  <si>
    <t>ART-241</t>
  </si>
  <si>
    <t>Painting II</t>
  </si>
  <si>
    <t>This course provides a continuing investigation of the materials, processes, and techniques of painting. Emphasis is placed on the exploration of expressive content using a variety of creative processes. Upon completion, students should be able to demonstrate competence in the expanded use of form and variety.&lt;br /&gt;
&lt;br /&gt;
&lt;i&gt;Note:  This course has been approved for transfer under the CAA as a premajor and/or elective course requirement. This course has been approved for transfer under the ICAA as a premajor and/or elective course requirement.&lt;/i&gt;&lt;br /&gt;&lt;br /&gt;</t>
  </si>
  <si>
    <t>ART-264</t>
  </si>
  <si>
    <t>Digital Photography I</t>
  </si>
  <si>
    <t>This course introduces digital photographic equipment, theory and processes. Emphasis is placed on camera operation, composition, computer photo manipulation and creative expression. Upon completion, students should be able to successfully expose, digitally manipulate, and print a well-conceived composition.&lt;br /&gt;
&lt;br /&gt;
&lt;i&gt;Note:  This course has been approved for transfer under the CAA as a premajor and/or elective course requirement. This course has been approved for transfer under the ICAA as a premajor and/or elective course requirement.&lt;/i&gt;&lt;br /&gt;&lt;br /&gt;</t>
  </si>
  <si>
    <t>ART-275</t>
  </si>
  <si>
    <t>Introduction to Graphic Design</t>
  </si>
  <si>
    <t>This course introduces students to the field of graphic design. Emphasis is placed on the basic concepts of visual communication, the design process and the ability to evaluate and discuss design issues in a critical manner. Upon completion, students should be able to use contemporary design software and visual language techniques as they apply to creative visual problem-solving involving typography, image manipulation, symbolic representation and page management while being responsive to the relationship between client, designer and audience.&lt;br /&gt;
&lt;br /&gt;
&lt;i&gt;Note:  This course has been approved for transfer under the CAA as a premajor and/or elective course requirement. This course has been approved for transfer under the ICAA as a premajor and/or elective course requirement.&lt;/i&gt;&lt;br /&gt;&lt;br /&gt;</t>
  </si>
  <si>
    <t>ART-281</t>
  </si>
  <si>
    <t>Sculpture I</t>
  </si>
  <si>
    <t>This course provides an exploration of the creative and technical methods of sculpture with focus on the traditional processes. Emphasis is placed on developing basic skills as they pertain to three-dimensional expression in various media. Upon completion, students should be able to show competence in variety of sculptural approaches.&lt;br /&gt;
&lt;br /&gt;
&lt;i&gt;Note:  This course has been approved for transfer under the CAA as a premajor and/or elective course requirement. This course has been approved for transfer under the ICAA as a premajor and/or elective course requirement.&lt;/i&gt;&lt;br /&gt;&lt;br /&gt;</t>
  </si>
  <si>
    <t>ART-283</t>
  </si>
  <si>
    <t>Ceramics I</t>
  </si>
  <si>
    <t>This course provides an introduction to three-dimensional design principles using the medium of clay. Emphasis is placed on fundamentals of forming, surface design, glaze application, and firing. Upon completion, students should be able to demonstrate skills in slab and coil construction, simple wheel forms, glaze technique, and creative expression.&lt;br /&gt;
&lt;br /&gt;
&lt;i&gt;Note:  This course has been approved for transfer under the CAA as a premajor and/or elective course requirement. This course has been approved for transfer under the ICAA as a premajor and/or elective course requirement.&lt;/i&gt;&lt;br /&gt;&lt;br /&gt;</t>
  </si>
  <si>
    <t>ART-284</t>
  </si>
  <si>
    <t>Ceramics II</t>
  </si>
  <si>
    <t>This course covers advanced hand building and wheel techniques. Emphasis is placed on creative expression, surface design, sculptural quality, and glaze effect. Upon completion, students should be able to demonstrate a high level of technical competence in forming and glazing with a development of three-dimensional awareness.&lt;br /&gt;
&lt;br /&gt;
&lt;i&gt;Note:  This course has been approved for transfer under the CAA as a premajor and/or elective course requirement. This course has been approved for transfer under the ICAA as a premajor and/or elective course requirement.&lt;/i&gt;&lt;br /&gt;&lt;br /&gt;</t>
  </si>
  <si>
    <t>ART-285</t>
  </si>
  <si>
    <t>Ceramics III</t>
  </si>
  <si>
    <t>This course provides the opportunity for advanced self-determined work in sculptural and functional ceramics. Emphasis is placed on developing the technical awareness of clay bodies, slips, engobes, and firing procedures necessary to fulfill the student's artistic goals. Upon completion, students should be able to demonstrate a knowledge of materials and techniques necessary to successfully create original projects in the clay medium.&lt;br /&gt;
&lt;br /&gt;
&lt;i&gt;Note:  This course has been approved for transfer under the CAA as a premajor and/or elective course requirement.  This course has been approved for transfer under the ICAA as a premajor and/or elective course requirement.&lt;/i&gt;&lt;br /&gt;&lt;br /&gt;</t>
  </si>
  <si>
    <t>ASL-111</t>
  </si>
  <si>
    <t>Elementary American Sign Lanuage I</t>
  </si>
  <si>
    <t>American Sign Language (ASL)</t>
  </si>
  <si>
    <t>This course introduces the fundamental elements of American Sign Language within a cultural context. Emphasis is placed on the development of basic expressive and receptive skills. Upon completion, students will be able to comprehend and respond with grammatical accuracy to expressive American Sign Language and demonstrate cultural awareness.&lt;br /&gt;
&lt;br /&gt;
&lt;i&gt;Note:  This course has been approved for transfer under the CAA as a general education course in Humanities/Fine Arts. This course has been approved for transfer under the ICAA as a general education course in Humanities/Fine Arts.&lt;/i&gt;&lt;br /&gt;&lt;br /&gt;</t>
  </si>
  <si>
    <t>ASL-112</t>
  </si>
  <si>
    <t>Elementary American Sign Lanuage II</t>
  </si>
  <si>
    <t>This course is a continuation of ASL 111 focusing on the fundamental elements of American Sign Language in a cultural context. Emphasis is placed on the progressive development of expressive and receptive skills. Upon completion, the students should be able to comprehend and respond with increasing accuracy to expressive American Sign Language and demonstrate cultural awareness.&lt;br /&gt;
&lt;br /&gt;
&lt;i&gt;Note:  This course has been approved for transfer under the CAA as a general education course in Humanities/Fine Arts. This course has been approved for transfer under the ICAA as a general education course in Humanities/Fine Arts.&lt;/i&gt;&lt;br /&gt;&lt;br /&gt;</t>
  </si>
  <si>
    <t>ASL-211</t>
  </si>
  <si>
    <t>Intermediate American Sign Lanuage I</t>
  </si>
  <si>
    <t>This course provides a review and expansion of the essential skills of American Sign Language. Emphasis is placed on the progressive development of expressive and receptive skills, study of authentic and representative literacy and cultural texts.  Upon completion, students should be able to communicate effectively, accurately, and creatively using American Sign Language about the past, present, and future.&lt;br /&gt;
&lt;br /&gt;
&lt;i&gt;Note:  This course has been approved for transfer under the CAA as a general education course in Humanities/Fine Arts.  This course has been approved for transfer under the ICAA as a general education course in Humanities/Fine Arts.&lt;/i&gt;&lt;br /&gt;&lt;br /&gt;</t>
  </si>
  <si>
    <t>ASL-212</t>
  </si>
  <si>
    <t>Intermediate American Sign Lanuage II</t>
  </si>
  <si>
    <t>This course provides a continuation of ASL 211. Emphasis is placed on the continuing development of expressive and receptive skills, with study of authentic and representative literary and cultural texts. Upon completion, students should be able to communicate spontaneously and accurately with increasing complexity and sophistication.&lt;br /&gt;
&lt;br /&gt;
&lt;i&gt;Note:  This course has been approved for transfer under the CAA as a general education course in Humanities/Fine Arts. This course has been approved for transfer under the ICAA as a general education course in Humanities/Fine Arts.&lt;/i&gt;&lt;br /&gt;&lt;br /&gt;</t>
  </si>
  <si>
    <t>AST-111</t>
  </si>
  <si>
    <t>Descriptive Astronomy</t>
  </si>
  <si>
    <t>Astronomy (AST)</t>
  </si>
  <si>
    <t>This course introduces an overall view of modern astronomy. Topics include an overview of the solar system, the sun, stars, galaxies, and the larger universe. Upon completion, students should be able to demonstrate an understanding of the universe around them.&lt;br /&gt;
&lt;br /&gt;
&lt;i&gt;Note:  In accordance with the Comprehensive Articulation Agreement, this course has been approved to satisfy the Universal General Education Transfer Component requirement for natural sciences in the A.A. degree program. This course has been approved to meet the natural sciences requirement in A.A.S. degree programs.&lt;/i&gt;&lt;br /&gt;&lt;br /&gt;</t>
  </si>
  <si>
    <t>AST-111A</t>
  </si>
  <si>
    <t>Descriptive Astronomy Lab</t>
  </si>
  <si>
    <t>The course is a laboratory to accompany AST 111. Emphasis is placed on laboratory experiences which enhance the materials presented in AST 111 and which provide practical experience. Upon completion, students should be able to demonstrate an understanding of the universe around them.&lt;br /&gt;
&lt;br /&gt;
&lt;i&gt;Note:  In accordance with the Comprehensive Articulation Agreement, this course has been approved to satisfy the Universal General Education Transfer Component requirement for natural sciences in the A.A. degree program. This course has been approved to meet the natural sciences requirement in A.A.S. degree programs.&lt;/i&gt;&lt;br /&gt;&lt;br /&gt;</t>
  </si>
  <si>
    <t>ATR-112</t>
  </si>
  <si>
    <t>Introduction to Automation</t>
  </si>
  <si>
    <t>Automation &amp; Robotics (ATR)</t>
  </si>
  <si>
    <t>This course introduces the basic principles of automated systems and describes the tasks that technicians perform on the job. Topics include the history, development, and current applications of robots and automated systems including their configuration, operation, components, and controls. Upon completion, students should be able to understand the basic concepts of automation and robotic systems. &lt;br /&gt;&lt;br /&gt;</t>
  </si>
  <si>
    <t>ATR-120</t>
  </si>
  <si>
    <t>Introduction to Autonomous Vehicles</t>
  </si>
  <si>
    <t>This course introduces trends, control technologies, and applications of piloted and autonomous vehicles. Topics include the current and future trends in technology, design constraints, control systems,data transmission, programming, and the remote or autonomous piloting of vehicles. Upon completion, students should be able to identify and explain common functionality of autonomous vehicle systems, designs, programming, control systems, data transmission requirements, and remote operation.&lt;br /&gt;&lt;br /&gt;</t>
  </si>
  <si>
    <t>ATR-211</t>
  </si>
  <si>
    <t>Robot Programming</t>
  </si>
  <si>
    <t>This course provides the operational characteristics of robots and programming in their  respective languages. Topics include robot programming, teach pendants, PLC integration, operator interfaces, the interaction of external sensors, machine vision, network systems, and other related devices. Upon completion, students should be able to program and demonstrate the operation of various robots.&lt;br /&gt;&lt;br /&gt;</t>
  </si>
  <si>
    <t>BIO-110</t>
  </si>
  <si>
    <t>Principles of Biology</t>
  </si>
  <si>
    <t>Biology (BIO)</t>
  </si>
  <si>
    <t>This course provides a survey of fundamental biological principles for non-science majors. Emphasis is placed on basic chemistry, cell biology, metabolism, genetics, evolution, ecology, diversity, and other related topics. Upon completion, students should be able to demonstrate increased knowledge and better understanding of biology as it applies to everyday life.&lt;br /&gt;
&lt;br /&gt;
&lt;i&gt;Note:  In accordance with the Comprehensive Articulation Agreement, this course has been approved to satisfy the Universal General Education Transfer Component requirement for natural sciences in A.A. and A.S. degree programs. This course has been approved to meet the natural sciences requirement in A.A.S. degree programs.&lt;/i&gt;&lt;br /&gt;&lt;br /&gt;</t>
  </si>
  <si>
    <t>BIO-111</t>
  </si>
  <si>
    <t>General Biology I</t>
  </si>
  <si>
    <t>This course introduces the principles and concepts of biology. Emphasis is placed on basic biological chemistry, molecular and cellular biology, metabolism and energy transformation, genetics, evolution, and other related topics. Upon completion, students should be able to demonstrate understanding of life at the molecular and cellular levels.&lt;br /&gt;
&lt;br /&gt;
&lt;i&gt;Note:  In accordance with the Comprehensive Articulation Agreement, this course has been approved to satisfy the Universal General Education Transfer Component requirement for natural sciences in A.A. and A.S. degree programs. This course has been approved to meet the natural sciences requirement in A.A.S. degree programs.&lt;/i&gt;&lt;br /&gt;&lt;br /&gt;</t>
  </si>
  <si>
    <t>BIO-112</t>
  </si>
  <si>
    <t>General Biology II</t>
  </si>
  <si>
    <t>This course is a continuation of BIO 111. Emphasis is placed on organisms, evolution, biodiversity, plant and animal systems, ecology, and other related topics. Upon completion, students should be able to demonstrate comprehension of life at the organismal and ecological levels.&lt;br /&gt;
&lt;br /&gt;
&lt;i&gt;Note:  In accordance with the Comprehensive Articulation Agreement, this course has been approved to satisfy the Universal General Education Transfer Component requirement for natural sciences in the A.S. degree program. This course has been approved to meet the natural sciences requirement in A.A.S. degree programs.&lt;/i&gt;&lt;br /&gt;&lt;br /&gt;</t>
  </si>
  <si>
    <t>BIO-140</t>
  </si>
  <si>
    <t>Environmental Biology</t>
  </si>
  <si>
    <t>This course introduces environmental processes and the influence of human activities upon them. Topics include ecological concepts, population growth, natural resources, and a focus on current environmental problems from scientific, social, political, and economic perspectives. Upon completion, students should be able to demonstrate an understanding of environmental interrelationships and of contemporary environmental issues.&lt;br /&gt;
&lt;br /&gt;
&lt;i&gt;Note:  In accordance with the Comprehensive Articulation Agreement, this course has been approved to satisfy the general education requirement for natural sciences in A.A., A.S., and A.A.S. degree programs.&lt;/i&gt;&lt;br /&gt;&lt;br /&gt;</t>
  </si>
  <si>
    <t>BIO-140A</t>
  </si>
  <si>
    <t>Environmental Biology Lab</t>
  </si>
  <si>
    <t>This course provides a laboratory component to complement BIO 140. Emphasis is placed on laboratory and field experience. Upon completion, students should be able to demonstrate a practical understanding of environmental interrelationships and of contemporary environmental issues.&lt;br /&gt;
&lt;br /&gt;
&lt;i&gt;Note:  In accordance with the Comprehensive Articulation Agreement, this course has been approved to satisfy the general education requirement for natural sciences in A.A., A.S., and A.A.S. degree programs.&lt;/i&gt;&lt;br /&gt;&lt;br /&gt;</t>
  </si>
  <si>
    <t>BIO-163</t>
  </si>
  <si>
    <t>Basic Anatomy &amp; Physiology</t>
  </si>
  <si>
    <t>This course provides a basic study of the structure and function of the human body. Topics include a basic study of the body systems as well as an introduction to homeostasis, cells, tissues, nutrition, acid-base balance, and electrolytes. Upon completion, students should be able to demonstrate a basic understanding of the fundamental principles of anatomy and physiology and their interrelationships.&lt;br /&gt;
&lt;br /&gt;
&lt;i&gt;Note:  In accordance with the Comprehensive Articulation Agreement, this course has been approved to satisfy the pre-major/elective requirement in A.A. and A.S. degree programs. This course has been approved to meet the natural sciences requirement in A.A.S. degree programs.&lt;/i&gt;&lt;br /&gt;&lt;br /&gt;</t>
  </si>
  <si>
    <t>BIO-165</t>
  </si>
  <si>
    <t>Anatomy and Physiology I</t>
  </si>
  <si>
    <t>This course is the first of a two-course sequence which provides a comprehensive study of the anatomy and physiology of the human body. Topics include the structure, function, and interrelationship of organ systems with emphasis on the processes which maintain homeostasis. Upon completion, students should be able to demonstrate an in-depth understanding of principles of anatomy and physiology and their interrelationships.&lt;br /&gt;
&lt;br /&gt;
&lt;i&gt;Note:  In accordance with the Comprehensive Articulation Agreement, this course has been approved to satisfy the pre-major/elective requirement in A.A. and A.S. degree programs. This course has been approved to meet the natural sciences requirement in A.A.S. degree programs.&lt;/i&gt;&lt;br /&gt;&lt;br /&gt;</t>
  </si>
  <si>
    <t>BIO-166</t>
  </si>
  <si>
    <t>Anatomy and Physiology II</t>
  </si>
  <si>
    <t>This course is the second in a two-course sequence which provides a comprehensive study of the anatomy and physiology of the human body. Topics include the structure, function, and interrelationship of organ systems with emphasis on the processes which maintain homeostasis. Upon completion, students should be able to demonstrate an in-depth understanding of principles of anatomy and physiology and the interrelationships of all body systems.&lt;br /&gt;
&lt;br /&gt;
&lt;i&gt;Note:  In accordance with the Comprehensive Articulation Agreement, this course has been approved to satisfy the pre-major/elective requirement in A.A. and A.S. degree programs. This course has been approved to meet the natural sciences requirement in A.A.S. degree programs.&lt;/i&gt;&lt;br /&gt;&lt;br /&gt;</t>
  </si>
  <si>
    <t>BIO-275</t>
  </si>
  <si>
    <t>Microbiology</t>
  </si>
  <si>
    <t>This course covers principles of microbiology and the impact these organisms have on man and the environment. Topics include the various groups of microorganisms, their structure, physiology, genetics, microbial pathogenicity, infectious diseases, immunology, and selected practical applications. Upon completion, students should be able to demonstrate knowledge and skills including microscopy, aseptic technique, staining, culture methods, and identification of microorganisms.&lt;br /&gt;
&lt;br /&gt;
&lt;i&gt;Note:  In accordance with the Comprehensive Articulation Agreement, this course has been approved to satisfy the pre-major/elective requirement in A.A. and A.S. degree programs. This course has been approved to meet the natural sciences requirement in A.A.S. degree programs.&lt;/i&gt;&lt;br /&gt;&lt;br /&gt;</t>
  </si>
  <si>
    <t>BUS-110</t>
  </si>
  <si>
    <t>Introduction to Business</t>
  </si>
  <si>
    <t>Business (BUS)</t>
  </si>
  <si>
    <t>This course provides a survey of the business world. Topics include the basic principles and practices of contemporary business. Upon completion, students should be able to demonstrate an understanding of business concepts as a foundation for studying other business subjects.&lt;br /&gt;
&lt;br /&gt;
&lt;i&gt;Note:  In accordance with the Comprehensive Articulation Agreement, this course has been approved to satisfy the pre-major/elective requirement in A.A. and A.S. degree programs.&lt;/i&gt;&lt;br /&gt;&lt;br /&gt;</t>
  </si>
  <si>
    <t>BUS-115</t>
  </si>
  <si>
    <t>Business Law I</t>
  </si>
  <si>
    <t>This course introduces the student to the legal and ethical framework of business. Contracts, negotiable instruments, the law of sales, torts, crimes, constitutional law, the Uniform Commercial Code, and the court systems are examined. Upon completion the student should be able to identify legal and ethical issues that arise in business decisions and the laws that apply to them.&lt;br /&gt;
&lt;br /&gt;
&lt;i&gt;Note:  In accordance with the Comprehensive Articulation Agreement, this course has been approved to satisfy the pre-major/elective requirement in A.A. and A.S. degree programs.&lt;/i&gt;&lt;br /&gt;&lt;br /&gt;</t>
  </si>
  <si>
    <t>BUS-121</t>
  </si>
  <si>
    <t>Business Mathematics</t>
  </si>
  <si>
    <t>This course covers fundamental mathematical operations and their application to business problems. Topics include payroll, pricing, interest and discount, commission, taxes, and other pertinent uses of mathematics in the field of business. Upon completion, students should be able to apply mathematical concepts to business. &lt;br /&gt;&lt;br /&gt;</t>
  </si>
  <si>
    <t>BUS-125</t>
  </si>
  <si>
    <t>Personal Finance</t>
  </si>
  <si>
    <t>This course provides a study of individual and family financial decisions. Emphasis is placed on building useful skills in buying, managing finances, increasing resources, and coping with current economic conditions. Upon completion, students should be able to develop a personal financial plan.&lt;br /&gt;&lt;br /&gt;</t>
  </si>
  <si>
    <t>BUS-137</t>
  </si>
  <si>
    <t>Principles of Management</t>
  </si>
  <si>
    <t>This course is designed to be an overview of the major functions of management. Emphasis is placed on planning, organizing, controlling, directing, and communicating. Upon completion, students should be able to work as contributing members of a team utilizing these functions of management.&lt;br /&gt;
&lt;br /&gt;
&lt;i&gt;Note:  In accordance with the Comprehensive Articulation Agreement, this course has been approved to satisfy the pre-major/elective requirement in A.A. and A.S. degree programs.&lt;/i&gt;&lt;br /&gt;&lt;br /&gt;</t>
  </si>
  <si>
    <t>BUS-139</t>
  </si>
  <si>
    <t>Entrepreneurship I</t>
  </si>
  <si>
    <t>This course provides an introduction to the principles of entrepreneurship. Topics include self- analysis of entrepreneurship readiness, the role of entrepreneur in economic development, legal problems, organizational structure, sources of financing, budgeting, and cash flow. Upon completion, students should have an understanding of the entrepreneurial process and issues faced by entrepreneurs. &lt;br /&gt;&lt;br /&gt;</t>
  </si>
  <si>
    <t>BUS-153</t>
  </si>
  <si>
    <t>Human Resource Management</t>
  </si>
  <si>
    <t>This course introduces the functions of personnel/human resource management within an organization. Topics include equal opportunity and the legal environment, recruitment and selection, performance appraisal, employee development, compensation planning, and employee relations. Upon completion, students should be able to anticipate and resolve human resource concerns. &lt;br /&gt;&lt;br /&gt;</t>
  </si>
  <si>
    <t>BUS-217</t>
  </si>
  <si>
    <t>Employment Law and Regulations</t>
  </si>
  <si>
    <t>This course introduces the principle laws and regulations affecting public and private organizations and their employees or prospective employees. Topics include fair employment practices, EEO, affirmative action, and employee rights and protections. Upon completion, students should be able to evaluate organization policy for compliance and assure that decisions are not contrary to law.&lt;br /&gt;&lt;br /&gt;</t>
  </si>
  <si>
    <t>BUS-230</t>
  </si>
  <si>
    <t>Small Business Management</t>
  </si>
  <si>
    <t>This course introduces the challenges of entrepreneurship including the startup and operation of a small business. Topics include market research techniques, feasibility studies, site analysis, financing alternatives, and managerial decision making. Upon completion, students should be able to develop a small business plan. &lt;br /&gt;&lt;br /&gt;</t>
  </si>
  <si>
    <t>BUS-234</t>
  </si>
  <si>
    <t>Training and Development</t>
  </si>
  <si>
    <t>This course covers developing, conducting, and evaluating employee training with attention to adult learning principles. Emphasis is placed on conducting a needs assessment, using various instructional approaches, designing the learning environment, and locating learning resources. Upon completion, students should be able to design, conduct, and evaluate a training program.&lt;br /&gt;&lt;br /&gt;</t>
  </si>
  <si>
    <t>BUS-239</t>
  </si>
  <si>
    <t>Business Applications Capstone</t>
  </si>
  <si>
    <t>This course is designed as a capstone course for Business Administration majors. Emphasis is placed on decision making in the areas of management, marketing, production, purchasing, and finance. Upon completion, students should be able to apply the techniques, processes, and vital professional skills needed in the work place. &lt;br /&gt;&lt;br /&gt;</t>
  </si>
  <si>
    <t>BUS-256</t>
  </si>
  <si>
    <t>Recruiting, Selection &amp; Personnel Planning</t>
  </si>
  <si>
    <t>This course introduces the basic principles involved in managing the employment process. Topics include personnel planning, recruiting, interviewing and screening techniques, maintaining employee records; and voluntary and involuntary separations. Upon completion, students should be able to acquire and retain employees who match position requirements and fulfill organizational objectives.&lt;br /&gt;&lt;br /&gt;</t>
  </si>
  <si>
    <t>BUS-260</t>
  </si>
  <si>
    <t>Business Communication</t>
  </si>
  <si>
    <t>This course is designed to develop skills in writing business communications. Emphasis is placed on business reports, correspondence, and professional presentations. Upon completion, students should be able to communicate effectively in the workplace.&lt;br /&gt;&lt;br /&gt;</t>
  </si>
  <si>
    <t>CAS-110</t>
  </si>
  <si>
    <t>Perspectives on Child Maltreatment &amp; Advocacy</t>
  </si>
  <si>
    <t>Child Advocacy Studies (CAS)</t>
  </si>
  <si>
    <t>This course covers the critical examination of child maltreatment and advocacy. Emphasis is placed on the history, comparative perspectives, legal framework, responses to child maltreatment, pertinent issues in maltreatment and advocacy. Upon completion, students should be able to apply the knowledge and skills necessary for recognition and advocacy on behalf of child victims.&lt;br /&gt;&lt;br /&gt;</t>
  </si>
  <si>
    <t>CAS-120</t>
  </si>
  <si>
    <t>Cultural Awareness in Child Maltreatment &amp; Advocacy</t>
  </si>
  <si>
    <t>This course is designed to deepen students’ understanding of the intersection between cultural dynamics and child maltreatment, emphasizing the significance of cultural awareness in effective advocacy. Emphasis is placed on an exploration of diverse cultural contexts, promoting cultural competence as an integral aspect of advocating for the rights and well-being of children. Upon completion, students should be able to navigate the complexities of child maltreatment while respecting and valuing the diverse backgrounds of children and families.&lt;br /&gt;&lt;br /&gt;</t>
  </si>
  <si>
    <t>CAS-210</t>
  </si>
  <si>
    <t>Professional &amp; System Responses to Child Maltreatment</t>
  </si>
  <si>
    <t>This course is designed to focus on the responses of professionals to allegations of child maltreatment. Emphasis is placed on the multifaceted nature of child abuse and neglect and explores evidence-based strategies for intervention, prevention, and collaboration across diverse professional settings. Upon completion, student should be able to identify the knowledge, skills, and ethical considerations essential for responding effectively to child maltreatment within various systems.&lt;br /&gt;&lt;br /&gt;</t>
  </si>
  <si>
    <t>CAS-220</t>
  </si>
  <si>
    <t>Responding to the Survivor of Child Maltreatment</t>
  </si>
  <si>
    <t>This course is designed to equip students with the knowledge, skills, and compassion necessary to effectively recognize and respond to the effects of child maltreatment. Emphasis is placed on intervention strategies for children and their families, exploring the multifaceted dimensions of child abuse, emphasizing trauma-informed approaches, and the cultivation of a supportive environment for survivors. Upon completion, students should be able to demonstrate the practical skills and compassionate mindset needed to effectively recognize, respond to, and support survivors of child maltreatment.&lt;br /&gt;&lt;br /&gt;</t>
  </si>
  <si>
    <t>CHM-131</t>
  </si>
  <si>
    <t>Introduction to Chemistry</t>
  </si>
  <si>
    <t>Chemistry (CHM)</t>
  </si>
  <si>
    <t>This course introduces the fundamental concepts of inorganic chemistry. Topics include measurement, matter and energy, atomic and molecular structure, nuclear chemistry, stoichiometry, chemical formulas and reactions, chemical bonding, gas laws, solutions, and acids and bases. Upon completion, students should be able to demonstrate a basic understanding of chemistry as it applies to other fields.&lt;br /&gt;
&lt;br /&gt;
&lt;i&gt;Note:  In accordance with the Comprehensive Articulation Agreement, this course has been approved to satisfy the general education requirement for natural sciences in A.A., A.S., and A.A.S. degree programs.&lt;/i&gt;&lt;br /&gt;&lt;br /&gt;</t>
  </si>
  <si>
    <t>CHM-131A</t>
  </si>
  <si>
    <t>Introduction to Chemistry Lab</t>
  </si>
  <si>
    <t>This course is a laboratory to accompany CHM 131. Emphasis is placed on laboratory experiences that enhance materials presented in CHM 131. Upon completion, students should be able to utilize basic laboratory procedures and apply them to chemical principles presented in CHM 131.&lt;br /&gt;
&lt;br /&gt;
&lt;i&gt;Note:  In accordance with the Comprehensive Articulation Agreement, this course has been approved to satisfy the general education requirement for natural sciences in A.A., A.S., and A.A.S. degree programs.&lt;/i&gt;&lt;br /&gt;&lt;br /&gt;</t>
  </si>
  <si>
    <t>CHM-151</t>
  </si>
  <si>
    <t>General Chemistry I</t>
  </si>
  <si>
    <t>This course covers fundamental principles and laws of chemistry. Topics include measurement, atomic and molecular structure, periodicity, chemical reactions, chemical bonding, stoichiometry, thermochemistry, gas laws, and solutions. Upon completion, students should be able to demonstrate an understanding of fundamental chemical laws and concepts as needed in CHM 152.&lt;br /&gt;
&lt;br /&gt;
&lt;i&gt;Note:  In accordance with the Comprehensive Articulation Agreement, this course has been approved to satisfy the Universal General Education Transfer Component requirement for natural sciences in A.A. and A.S. degree programs. This course has been approved to meet the natural sciences requirement in A.A.S. degree programs.&lt;/i&gt;&lt;br /&gt;&lt;br /&gt;</t>
  </si>
  <si>
    <t>CHM-152</t>
  </si>
  <si>
    <t>General Chemistry II</t>
  </si>
  <si>
    <t>This course provides a continuation of the study of the fundamental principles and laws of chemistry. Topics include kinetics, equilibrium, ionic and redox equations, acid-base theory, electrochemistry, thermodynamics, introduction to nuclear and organic chemistry, and complex ions. Upon completion, students should be able to demonstrate an understanding of chemical concepts as needed to pursue further study in chemistry and related professional fields.&lt;br /&gt;
&lt;br /&gt;
&lt;i&gt;Note:  In accordance with the Comprehensive Articulation Agreement, this course has been approved to satisfy the Universal General Education Transfer Component requirement for natural sciences in the A.S. degree program. This course has been approved to meet the natural sciences requirement in A.A.S. degree programs.&lt;/i&gt;&lt;br /&gt;&lt;br /&gt;</t>
  </si>
  <si>
    <t>CHM-251</t>
  </si>
  <si>
    <t>Organic Chemistry I</t>
  </si>
  <si>
    <t>This course provides a systematic study of the theories, principles, and techniques of organic chemistry. Topics include nomenclature, structure, properties, reactions, and mechanisms of hydrocarbons, alkyl halides, alcohols, and ethers; further topics include isomerization, sterochemistry, and spectroscopy. Upon completion, students should be able to demonstrate an understanding of the fundamental concepts of covered organic topics as needed in CHM 252.&lt;br /&gt;
&lt;br /&gt;
&lt;i&gt;Note:  In accordance with the Comprehensive Articulation Agreement, this course has been approved to satisfy the pre-major/elective requirement in A.A. and A.S. degree programs.&lt;/i&gt;&lt;br /&gt;&lt;br /&gt;</t>
  </si>
  <si>
    <t>CHM-252</t>
  </si>
  <si>
    <t>Organic Chemistry II</t>
  </si>
  <si>
    <t>This course provides continuation of the systematic study of the theories, principles, and techniques of organic chemistry. Topics include nomenclature, structure, properties, reactions, and mechanisms of aromatics, aldehydes, ketones, carboxylic acids and derivatives, amines and heterocyclics; multi-step synthesis will be emphasized. Upon completion, students should be able to demonstrate an understanding of organic concepts as needed to pursue further study in chemistry and related professional fields.&lt;br /&gt;
&lt;br /&gt;
&lt;i&gt;Note:  In accordance with the Comprehensive Articulation Agreement, this course has been approved to satisfy the pre-major/elective requirement in A.A. and A.S. degree programs.&lt;/i&gt;&lt;br /&gt;&lt;br /&gt;</t>
  </si>
  <si>
    <t>CIS-110</t>
  </si>
  <si>
    <t>Introduction to Computers</t>
  </si>
  <si>
    <t>Computer Information Systems (CIS)</t>
  </si>
  <si>
    <t>This course introduces computer concepts, including fundamental functions and operations of the computer. Topics include identification of hardware components, basic computer operations, security issues, and use of software applications. Upon completion, students should be able to demonstrate an understanding of the role and function of computers and use the computer to solve problems.&lt;br /&gt;
&lt;br /&gt;
&lt;i&gt;Note:  In accordance with the Comprehensive Articulation Agreement, this course has been approved to satisfy the general education requirement for mathematics in A.A. and A.S. degree programs.&lt;/i&gt;&lt;br /&gt;&lt;br /&gt;</t>
  </si>
  <si>
    <t>CIS-115</t>
  </si>
  <si>
    <t>Introduction to Programming and Logic</t>
  </si>
  <si>
    <t>This course introduces computer programming and problem solving in a structured program logic environment. Topics include language syntax, data types, program organization, problem solving methods, algorithm design, and logic control structures. Upon completion, students should be able to manage files with operating system commands, use top-down algorithm design, and implement algorithmic solutions in a programming language.&lt;br /&gt;
&lt;br /&gt;
&lt;i&gt;Note:  In accordance with the Comprehensive Articulation Agreement, this course has been approved to satisfy the general education requirement for mathematics in A.A. and A.S. degree programs.&lt;/i&gt;&lt;br /&gt;&lt;br /&gt;</t>
  </si>
  <si>
    <t>CJC-111</t>
  </si>
  <si>
    <t>Introduction to Criminal Justice</t>
  </si>
  <si>
    <t>Criminal Justice (CJC)</t>
  </si>
  <si>
    <t>This course introduces the components and processes of the criminal justice system. Topics include history, structure, functions, and philosophy of the criminal justice system and their relationship to life in our society. Upon completion, students should be able to define and describe the major system components and their interrelationships and evaluate career options.&lt;br /&gt;
&lt;br /&gt;
&lt;i&gt;Note:  In accordance with the Comprehensive Articulation Agreement, this course has been approved to satisfy the pre-major/elective requirement in A.A. and A.S. degree programs.&lt;/i&gt;&lt;br /&gt;&lt;br /&gt;</t>
  </si>
  <si>
    <t>CJC-112</t>
  </si>
  <si>
    <t>Criminology</t>
  </si>
  <si>
    <t>This course introduces deviant behavior as it relates to criminal activity. Topics include theories of crime causation; statistical analysis of criminal behavior; past, present, and future social control initiatives; and other related topics. Upon completion, students should be able to explain and discuss various theories of crime causation and societal response. &lt;br /&gt;&lt;br /&gt;</t>
  </si>
  <si>
    <t>CJC-113</t>
  </si>
  <si>
    <t>Juvenile Justice</t>
  </si>
  <si>
    <t>This course covers the juvenile justice system and related juvenile issues. Topics include an overview of the juvenile justice system, treatment and prevention programs, special areas and laws unique to juveniles, and other related topics. Upon completion, students should be able to identify/discuss juvenile court structure/procedures, function and jurisdiction of juvenile agencies, processing/detention of juveniles, and case disposition.&lt;br /&gt;
&lt;br /&gt;
&lt;i&gt;Note:  This course has been approved for transfer under the CAA as a premajor and/or elective course requirement. This course has been approved for transfer under the ICAA as a premajor and/or elective course requirement.&lt;/i&gt;&lt;br /&gt;&lt;br /&gt;</t>
  </si>
  <si>
    <t>CJC-121</t>
  </si>
  <si>
    <t>Law Enforcement Operations</t>
  </si>
  <si>
    <t>This course introduces fundamental law enforcement operations. Topics include the contemporary evolution of law enforcement operations and related issues. Upon completion, students should be able to explain theories, practices, and issues related to law enforcement operations.&lt;br /&gt;
&lt;br /&gt;
&lt;i&gt;Note:  This course has been approved for transfer under the CAA as a premajor and/or elective course requirement. This course has been approved for transfer under the ICAA as a premajor and/or elective course requirement.&lt;/i&gt;&lt;br /&gt;&lt;br /&gt;</t>
  </si>
  <si>
    <t>CJC-131</t>
  </si>
  <si>
    <t>Criminal Law</t>
  </si>
  <si>
    <t>This course covers the history/evolution/principles and contemporary applications of criminal law. Topics include sources of substantive law, classification of crimes, parties to crime, elements of crimes, matters of criminal responsibility, and other related topics. Upon completion, students should be able to discuss the sources of law and identify, interpret, and apply the appropriate statutes/elements. &lt;br /&gt;&lt;br /&gt;</t>
  </si>
  <si>
    <t>CJC-132</t>
  </si>
  <si>
    <t>Court Procedure &amp; Evidence</t>
  </si>
  <si>
    <t>This course covers judicial structure/process/procedure from incident to disposition, kinds and degrees of evidence, and the rules governing admissibility of evidence in court. Topics include consideration of state and federal courts, arrest, search and seizure laws, exclusionary and statutory rules of evidence, and other related issues. Upon completion, students should be able to identify and discuss procedures necessary to establish a lawful arrest/search, proper judicial procedures, and the admissibility of evidence.&lt;br /&gt;&lt;br /&gt;</t>
  </si>
  <si>
    <t>CJC-141</t>
  </si>
  <si>
    <t>Corrections</t>
  </si>
  <si>
    <t>This course covers the history, major philosophies, components, and current practices and problems of the field of corrections. Topics include historical evolution, functions of the various components, alternatives to incarceration, treatment programs, inmate control, and other related topics. Upon completion, students should be able to explain the various components, processes, and functions of the correctional system.&lt;br /&gt;
&lt;br /&gt;
&lt;i&gt;Note:  In accordance with the Comprehensive Articulation Agreement, this course has been approved to satisfy the pre-major/elective requirement in A.A. and A.S. degree programs.&lt;/i&gt;&lt;br /&gt;&lt;br /&gt;</t>
  </si>
  <si>
    <t>CJC-160</t>
  </si>
  <si>
    <t>Terrorism: Underlying Issues</t>
  </si>
  <si>
    <t>This course identifies the fundamental reasons why America is a target for terrorists, covering various domestic/international terrorist groups and ideologies from a historical aspect. Emphasis is placed upon recognition of terrorist crime scene; weapons of mass destruction; chemical, biological, and nuclear terrorism; and planning considerations involving threat assessments. Upon completion, students should be able to identify and discuss the methods used in terrorists' activities and complete a threat assessment for terrorists' incidents. &lt;br /&gt;&lt;br /&gt;</t>
  </si>
  <si>
    <t>CJC-212</t>
  </si>
  <si>
    <t>Ethics &amp; Community Relations</t>
  </si>
  <si>
    <r>
      <rPr>
        <sz val="11"/>
        <color rgb="FF000000"/>
        <rFont val="Calibri"/>
      </rPr>
      <t xml:space="preserve">This course covers ethical considerations and accepted standards applicable to criminal justice organizations and professionals. Topics include ethical systems; social change, values, and norms; cultural diversity; citizen involvement in criminal justice issues; and other related topics. Upon completion, students should be able to apply ethical considerations to the decision-making process in identifiable criminal justice situations.&lt;br /&gt;
</t>
    </r>
    <r>
      <rPr>
        <i/>
        <sz val="11"/>
        <color rgb="FF000000"/>
        <rFont val="Calibri"/>
      </rPr>
      <t xml:space="preserve"> &lt;br /&gt;
&lt;i&gt;Note:  This course has been approved for transfer under the CAA as a premajor and/or elective course requirement. This course has been approved for transfer under the ICAA as a premajor and/or elective course requirement.&lt;/i&gt;&lt;br /&gt;&lt;br /&gt;</t>
    </r>
  </si>
  <si>
    <t>CJC-215</t>
  </si>
  <si>
    <t>Organization &amp; Administration</t>
  </si>
  <si>
    <t>This course introduces the components and functions of organization and administration as it applies to the agencies of the criminal justice system. Topics include operations/functions of organizations; recruiting, training, and retention of personnel; funding and budgeting; communications; span of control and discretion; and other related topics. Upon completion, students should be able to identify and discuss the basic components and functions of a criminal justice organization and its administrative operations. &lt;br /&gt;&lt;br /&gt;</t>
  </si>
  <si>
    <t>CJC-221</t>
  </si>
  <si>
    <t>Investigative Principles</t>
  </si>
  <si>
    <t>This course introduces the theories and fundamentals of the investigative process. Topics include crime scene/incident processing, information gathering techniques, collection/preservation of evidence, preparation of appropriate reports, court presentations, and other related topics. Upon completion, students should be able to identify, explain, and demonstrate the techniques of the investigative process, report preparation, and courtroom presentation. &lt;br /&gt;&lt;br /&gt;</t>
  </si>
  <si>
    <t>CJC-222</t>
  </si>
  <si>
    <t>Criminalistics</t>
  </si>
  <si>
    <t>This course covers the functions of the forensic laboratory and its relationship to successful criminal investigations and prosecutions. Topics include advanced crime scene processing, investigative techniques, current forensic technologies, and other related topics. Upon completion, students should be able to identify and collect relevant evidence at simulated crime scenes and request appropriate laboratory analysis of submitted evidence. &lt;br /&gt;&lt;br /&gt;</t>
  </si>
  <si>
    <t>CJC-231</t>
  </si>
  <si>
    <t>Constitutional Law</t>
  </si>
  <si>
    <t>The course covers the impact of the Constitution of the United States and its amendments on the criminal justice system. Topics include the structure of the Constitution and its amendments, court decisions pertinent to contemporary criminal justice issues, and other related topics. Upon completion, students should be able to identify/discuss the basic structure of the United States Constitution and the rights/procedures as interpreted by the courts. &lt;br /&gt;&lt;br /&gt;</t>
  </si>
  <si>
    <t>CJC-233</t>
  </si>
  <si>
    <t>Correctional Law</t>
  </si>
  <si>
    <t>This course introduces statutory/case law pertinent to correctional concepts, facilities, and related practices. Topics include examination of major legal issues encompassing incarceration, probation, parole, restitution, pardon, restoration of rights, and other related topics. Upon completion, students should be able to identify/discuss legal issues which directly affect correctional systems and personnel. &lt;br /&gt;&lt;br /&gt;</t>
  </si>
  <si>
    <t>COM-120</t>
  </si>
  <si>
    <t>Introduction to Interpersonal Communication</t>
  </si>
  <si>
    <t>Communications (COM)</t>
  </si>
  <si>
    <t>This course introduces the practices and principles of interpersonal communication in both dyadic and group settings. Emphasis is placed on the communication process, perception, listening, self- disclosure, speech apprehension, ethics, nonverbal communication, conflict, power, and dysfunctional communication relationships. Upon completion, students should be able to demonstrate interpersonal communication skills, apply basic principles of group discussion, and manage conflict in interpersonal communication situations. &lt;br /&gt;
&lt;br /&gt;
&lt;i&gt;Note:  This course has been approved for transfer under the CAA as a general education course in Communication. This course has been approved for transfer under the ICAA as a general education course in Communication.&lt;/i&gt;&lt;br /&gt;&lt;br /&gt;</t>
  </si>
  <si>
    <t>COM-231</t>
  </si>
  <si>
    <t>Public Speaking</t>
  </si>
  <si>
    <t>This course provides instruction and experience in preparation and delivery of speeches within a public setting and group discussion. Emphasis is placed on research, preparation, delivery, and evaluation of informative, persuasive, and special occasion public speaking. Upon completion, students should be able to prepare and deliver well-organized speeches and participate in group discussion with appropriate audiovisual support.&lt;br /&gt;
&lt;br /&gt;
&lt;i&gt;Note:  In accordance with the Comprehensive Articulation Agreement, this course has been approved to satisfy the Universal General Education Transfer Component requirement for communications in A.A. and A.S. degree programs. This course has been approved to meet the communications requirement in A.A.S. degree programs.&lt;/i&gt;&lt;br /&gt;&lt;br /&gt;</t>
  </si>
  <si>
    <t>CSC-151</t>
  </si>
  <si>
    <t>JAVA Programming</t>
  </si>
  <si>
    <t>Computer Science (CSC)</t>
  </si>
  <si>
    <t>This course introduces computer programming using the JAVA programming language with object-oriented programming principles. Emphasis is placed on event-driven programming methods, including creating and manipulating objects, classes, and using object-oriented tools such as the class debugger. Upon completion students should be able to design, code, test, debug JAVA language programs.&lt;br /&gt;
&lt;br /&gt;
&lt;i&gt;Note:  In accordance with the Comprehensive Articulation Agreement, this course has been approved to satisfy the pre-major/elective requirement in A.A. and A.S. degree programs.&lt;/i&gt;&lt;br /&gt;&lt;br /&gt;</t>
  </si>
  <si>
    <t>CSC-153</t>
  </si>
  <si>
    <t>C# Programming</t>
  </si>
  <si>
    <t>This course introduces computer programming using the C# programming language with object-oriented programming principles. Emphasis is placed on event-driven programming methods, including creating and manipulating objects, classes, and using object-oriented tools such as the class debugger. Upon completion, students should be able to design, code, test, debug, and implement objects using the appropriate environment at the beginning level.&lt;br /&gt;&lt;br /&gt;</t>
  </si>
  <si>
    <t>CSC-251</t>
  </si>
  <si>
    <t>Advanced JAVA Programming</t>
  </si>
  <si>
    <t>This course is a continuation of CSC 151 using the JAVA programming language with object-oriented programming principles. Emphasis is placed on event-driven programming methods, including creating and manipulating objects, classes, and using object-oriented tools such as the class debugger. Upon completion, students should be able to design, code, test, debug, and implement objects using the appropriate environment.&lt;br /&gt;
&lt;br /&gt;
&lt;i&gt;Note:  This course has been approved for transfer under the CAA as a premajor and/or elective course requirement. This course has been approved for transfer under the ICAA as a premajor and/or elective course requirement.&lt;/i&gt;&lt;br /&gt;&lt;br /&gt;</t>
  </si>
  <si>
    <t>CTI-110</t>
  </si>
  <si>
    <t>Web, Programming, and Database, Foundation</t>
  </si>
  <si>
    <t>Computer Technology Integration (CTI)</t>
  </si>
  <si>
    <t>This course covers the introduction of the tools and resources available to students in programming, mark-up language and services on the Internet. Topics include standard mark-up language Internet services, creating web pages, using search engines, file transfer programs; and database design and creation with DBMS products. Upon completion students should be able to demonstrate knowledge of programming tools, deploy a web-site with mark-up tools, and create a simple database table.&lt;br /&gt;&lt;br /&gt;</t>
  </si>
  <si>
    <t>CTI-120</t>
  </si>
  <si>
    <t>Network and Security Foundation</t>
  </si>
  <si>
    <t>This course introduces students to the Network concepts, including networking terminology and protocols, local and wide area networks, and network standards. Emphasis is placed on securing information systems and the various implementation policies. Upon completion, students should be able to perform basic tasks related to networking mathematics, terminology, media and protocols.&lt;br /&gt;&lt;br /&gt;</t>
  </si>
  <si>
    <t>CTS-115</t>
  </si>
  <si>
    <t>Information Systems Business Concepts</t>
  </si>
  <si>
    <t>Computer Technology Systems (CTS)</t>
  </si>
  <si>
    <t>The course introduces the role of IT in managing business processes and the need for business process and IT alignment. Emphasis is placed on industry need for understanding business challenges and developing/managing information systems to contribute to the decision making process based on these challenges. Upon completion, students should be able to demonstrate knowledge of the 'hybrid business manager' and the potential offered by new technology and systems.&lt;br /&gt;
&lt;br /&gt;
&lt;i&gt;Note:  This course has been approved for transfer under the CAA as a premajor and/or elective course requirement. This course has been approved for transfer under the ICAA as a premajor and/or elective course requirement.&lt;/i&gt;&lt;br /&gt;&lt;br /&gt;</t>
  </si>
  <si>
    <t>CTS-120</t>
  </si>
  <si>
    <t>Hardware/Software Support</t>
  </si>
  <si>
    <t>This course covers the basic hardware of a personal computer, including installation, operations and interactions with software. Topics include component identification, memory-system, peripheral installation and configuration, preventive maintenance, hardware diagnostics/repair, installation and optimization of system software, commercial programs, system configuration, and device-drivers. Upon completion, students should be able to select appropriate computer equipment and software, upgrade/maintain existing equipment and software, and troubleshoot/repair non-functioning personal computers. &lt;br /&gt;&lt;br /&gt;</t>
  </si>
  <si>
    <t>CTS-130</t>
  </si>
  <si>
    <t>Spreadsheet</t>
  </si>
  <si>
    <t>This course introduces basic spreadsheet design and development. Topics include writing formulas, using functions, enhancing spreadsheets, creating charts, and printing. Upon completion, students should be able to design and print basic spreadsheets and charts. &lt;br /&gt;&lt;br /&gt;</t>
  </si>
  <si>
    <t>CTS-155</t>
  </si>
  <si>
    <t>Tech Support Functions</t>
  </si>
  <si>
    <t>This course introduces a variety of diagnostic and instructional tools that are used to evaluate the performance of technical support technologies. Emphasis is placed on technical support management techniques and support technologies. Upon completion, students should be able to determine the best technologies to support and solve actual technical support problems.&lt;br /&gt;&lt;br /&gt;</t>
  </si>
  <si>
    <t>CTS-220</t>
  </si>
  <si>
    <t>Advanced Hardware/Software Support</t>
  </si>
  <si>
    <t>This course provides advanced knowledge and competencies in hardware and operating system technologies for computer technicians to support personal computers. Emphasis is placed on: configuring and upgrading; diagnosis and troubleshooting; as well as preventive maintenance of hardware and system software. Upon completion, students should be able to install, configure, diagnose, perform preventive maintenance, and maintain basic networking on personal computers.&lt;br /&gt;&lt;br /&gt;</t>
  </si>
  <si>
    <t>CTS-289</t>
  </si>
  <si>
    <t>System Support Project</t>
  </si>
  <si>
    <t>This course provides an opportunity to complete a significant support project with minimal instructor assistance. Emphasis is placed on written and oral communication skills, project definition, documentation, installation, testing, presentation, and user training. Upon completion, students should be able to complete a project from the definition phase through implementation. &lt;br /&gt;&lt;br /&gt;</t>
  </si>
  <si>
    <t>DBA-110</t>
  </si>
  <si>
    <t>Database Concepts</t>
  </si>
  <si>
    <t>Database (DBA)</t>
  </si>
  <si>
    <t>This course introduces database design and creation using a DBMS product. Emphasis is placed on data dictionaries, normalization, data integrity, data modeling, and creation of simple tables, queries, reports, and forms. Upon completion, students should be able to design and implement normalized database structures by creating simple database tables, queries, reports, and forms. &lt;br /&gt;&lt;br /&gt;</t>
  </si>
  <si>
    <t>DBA-120</t>
  </si>
  <si>
    <t>Database Programming I</t>
  </si>
  <si>
    <t>This course is designed to develop SQL programming proficiency. Emphasis is placed on data definition, data manipulation, and data control statements as well as on report generation. Upon completion, students should be able to write programs which create, update, and produce reports.&lt;br /&gt;&lt;br /&gt;</t>
  </si>
  <si>
    <t>DFT-151</t>
  </si>
  <si>
    <t>Computer Aided Drafting I</t>
  </si>
  <si>
    <t>Drafting (DFT)</t>
  </si>
  <si>
    <t>This course introduces CAD software as a drawing tool. Topics include drawing, editing, file management, and plotting. Upon completion, students should be able to produce and plot a CAD drawing.&lt;br /&gt;&lt;br /&gt;</t>
  </si>
  <si>
    <t>DRA-111</t>
  </si>
  <si>
    <t>Theatre Appreciation</t>
  </si>
  <si>
    <t>Drama (DRA)</t>
  </si>
  <si>
    <t>This course provides a study of the art, craft, and business of the theatre. Emphasis is placed on the audience's appreciation of the work of the playwright, director, actor, designer, producer, and critic. Upon completion, students should be able to demonstrate a vocabulary of theatre terms and to recognize the contributions of various theatre artists.&lt;br /&gt;
&lt;br /&gt;
&lt;i&gt;Note:  In accordance with the Comprehensive Articulation Agreement, this course has been approved to satisfy the general education requirement for humanities/fine arts in A.A., A.S., and A.A.S. degree programs.&lt;/i&gt;&lt;br /&gt;&lt;br /&gt;</t>
  </si>
  <si>
    <t>ECO-251</t>
  </si>
  <si>
    <t>Principles of Microeconomics</t>
  </si>
  <si>
    <t>Economics (ECO)</t>
  </si>
  <si>
    <t>This course introduces economic analysis of individual, business, and industry choices in the market economy. Topics include the price mechanism, supply and demand, optimizing economic behavior, costs and revenue, market structures, factor markets, income distribution, market failure, and government intervention. Upon completion, students should be able to identify and evaluate consumer and business alternatives in order to efficiently achieve economic objectives.&lt;br /&gt;
&lt;br /&gt;
&lt;i&gt;Note:  In accordance with the Comprehensive Articulation Agreement, this course has been approved to satisfy the Universal General Education Transfer Component requirement for social/behavioral sciences in A.A. and A.S. degree programs. This course has been approved to meet the social/behavioral sciences requirement in A.A.S. degree programs.&lt;/i&gt;&lt;br /&gt;&lt;br /&gt;</t>
  </si>
  <si>
    <t>ECO-252</t>
  </si>
  <si>
    <t>Principles of Macroeconomics</t>
  </si>
  <si>
    <t>This course introduces economic analysis of aggregate employment, income, and prices. Topics include major schools of economic thought; aggregate supply and demand; economic measures, fluctuations, and growth; money and banking; stabilization techniques; and international trade. Upon completion, students should be able to evaluate national economic components, conditions, and alternatives for achieving socioeconomic goals.&lt;br /&gt;
&lt;br /&gt;
&lt;i&gt;Note:  In accordance with the Comprehensive Articulation Agreement, this course has been approved to satisfy the Universal General Education Transfer Component requirement for social/behavioral science in A.A. and A.S. degree programs. This course has been approved to meet the social/behavioral sciences requirement in A.A.S. degree programs.&lt;/i&gt;&lt;br /&gt;&lt;br /&gt;</t>
  </si>
  <si>
    <t>EDU-114</t>
  </si>
  <si>
    <t>Introduction to Family Childcare</t>
  </si>
  <si>
    <t>Education (EDU)</t>
  </si>
  <si>
    <t>This course introduces the student to family child care home environments with emphasis on standards and developmentally effective approaches for supporting diverse children and families. Topics include standards for quality, curriculum for multiple age groups, authentic assessment methods, business practices, building positive family and community partnerships, and professionalism. Upon completion, students should be able to design a family child care handbook that reflects a healthy, respectful, supportive, and stimulating learning environment.&lt;br /&gt;&lt;br /&gt;</t>
  </si>
  <si>
    <t>EDU-119</t>
  </si>
  <si>
    <t>Introduction to Early Childhood Education</t>
  </si>
  <si>
    <t>This course introduces the foundations of culturally responsive, equitable and inclusive early childhood education, planning intentional developmentally appropriate experiences, learning activities, and teaching strategies for indoor and outdoor environments for all young children, guidance techniques, and professionalism. Topics include theoretical foundations, national early learning standards, NC Foundations for Early Learning and Development, state regulations, program types, career options, professionalism, ethical conduct, quality inclusive environments, guidance techniques, and curriculum responsive to the needs of each child/family. Upon completion, students should be able to implement developmentally appropriate environments, guidance techniques, schedules, and teaching strategies across developmental domains to support culturally, linguistically, and ability diverse children and their families in inclusive settings and design a personal career/professional development plan.&lt;br /&gt;&lt;br /&gt;</t>
  </si>
  <si>
    <t>EDU-130</t>
  </si>
  <si>
    <t>Social Environments for Children</t>
  </si>
  <si>
    <t>This course introduces the impact of social environments on young children's development and the importance of developing supportive, reciprocal relationships across children's various social environments and family circumstances. Topics include recognizing the impact of family/community relationships on child development, respect for family differences, strategies for building/sustaining respectful, reciprocal relationships, resilience, strength-based strategies for working with families and identifying community resources to support children, families, and the classroom. Upon completion, students should be able to demonstrate an understanding of how various family structures, environmental conditions, relationships, stressors, supports, and cultural values create the context for young children's lives by implementing strength-based strategies to support classroom interactions, and communications with families and communities.&lt;br /&gt;&lt;br /&gt;</t>
  </si>
  <si>
    <t>EDU-131</t>
  </si>
  <si>
    <t>Child, Family, and Community</t>
  </si>
  <si>
    <t>This course covers the development of partnerships among culturally, linguistically and ability diverse families, children, schools and communities through the use of evidence-based strategies. Emphasis is placed on developing skills and identifying benefits for establishing, and supporting respectful relationships between diverse families, programs/schools, and community agencies/resources reflective of the NAEYC Code of Ethical Conduct and the Code of Ethics for North Carolina Educators. Upon completion, students should be able to identify appropriate relationship building strategies between diverse families, children birth through adolescence, schools, and communities and demonstrate a variety of communication skills including appropriate use of technology to support every child. &lt;br /&gt;
&lt;br /&gt;
&lt;i&gt;Note:  This course has been approved for transfer under the CAA as a premajor and/or elective course requirement. This course has been approved for transfer under the ICAA as a premajor and/or elective course requirement.&lt;/i&gt;&lt;br /&gt;&lt;br /&gt;</t>
  </si>
  <si>
    <t>EDU-144</t>
  </si>
  <si>
    <t>Child Development I</t>
  </si>
  <si>
    <t>This course includes the theories of child development, observation and assessment, milestones, and factors that influence development, from conception through approximately 36 months. Emphasis is placed on knowledge, observation and assessment of developmental sequences in approaches to play/learning, emotional/social, health/physical, language/communication and cognitive domains. Upon completion, students should be able to compare/contrast typical/atypical developmental characteristics, explain biological and environmental factors that impact development, and identify evidence-based strategies for enhancing development for children that are culturally, linguistically, and ability diverse.&lt;br /&gt;
&lt;br /&gt;
&lt;i&gt;Note:  This course has been approved for transfer under the CAA as a premajor and/or elective course requirement. This course has been approved for transfer under the ICAA as a premajor and/or elective course requirement.&lt;/i&gt;&lt;br /&gt;&lt;br /&gt;</t>
  </si>
  <si>
    <t>EDU-145</t>
  </si>
  <si>
    <t>Child Development II</t>
  </si>
  <si>
    <t>This course includes the theories of child development, observation and assessment, milestones, and factors that influence development, from preschool through middle childhood. Emphasis is placed on knowledge, observation and assessment of developmental sequences in approaches to play/learning, emotional/social, health/physical, language/communication and cognitive domains. Upon completion, students should be able to compare/contrast typical/atypical developmental characteristics, explain biological and environmental factors that impact development, and identify evidence-based strategies for enhancing development for children that are culturally, linguistically, and ability diverse.&lt;br /&gt;
&lt;br /&gt;
&lt;i&gt;Note:  This course has been approved for transfer under the CAA as a premajor and/or elective course requirement. This course has been approved for transfer under the ICAA as a premajor and/or elective course requirement.&lt;/i&gt;&lt;br /&gt;&lt;br /&gt;</t>
  </si>
  <si>
    <t>EDU-146</t>
  </si>
  <si>
    <t>Child Guidance</t>
  </si>
  <si>
    <t>This course introduces evidence-based strategies to build nurturing relationships with each child by applying principles and practical techniques to facilitate developmentally appropriate guidance. Topics include designing responsive/supportive learning environments, cultural, linguistic and socio-economic influences on behavior, appropriate expectations, the importance of communication with children/families including using technology and the use of formative assessments in establishing intentional strategies for children with unique needs. Upon completion, students should be able to demonstrate direct/indirect strategies to encourage social skills, self-regulation, emotional expression and positive behaviors while recognizing the relationship between children's social, emotional and cognitive development.&lt;br /&gt;&lt;br /&gt;</t>
  </si>
  <si>
    <t>EDU-150</t>
  </si>
  <si>
    <t>Building an Inclusive Classroom</t>
  </si>
  <si>
    <t>This course provides a comprehensive introduction of best strategies for creating and planning an inclusive and diverse environment to meet the individual needs of children using research-based practices. Topics include adaptations and accommodations to the indoor/outdoor classroom environments, materials, schedules, learning experiences, and assistive technologies. Upon completion, students should be able to make adaptations to environments, materials, schedules, learning experiences, and assistive technologies to create inclusive classroom settings.&lt;br /&gt;&lt;br /&gt;</t>
  </si>
  <si>
    <t>EDU-151</t>
  </si>
  <si>
    <t>Creative Activities</t>
  </si>
  <si>
    <t>This course introduces developmentally supportive, diverse, equitable, and inclusive creative learning environments with attention to divergent thinking, creative problem-solving, evidence-based teaching practices, and open-ended learning materials and activities that align with the NC Foundations for Early Learning and Development. Emphasis is placed on best practices providing process-driven culturally diverse, learning experiences in art, music, creative movement, dance, and dramatic play integrated across all domains and academic content in indoor/outdoor environments for every young child age birth through age eight. Upon completion, students should be able to observe, examine, create, adapt, and advocate for developmentally appropriate creative learning materials, experiences, and environments for children that are culturally, linguistically, and ability diverse.&lt;br /&gt;&lt;br /&gt;</t>
  </si>
  <si>
    <t>EDU-153</t>
  </si>
  <si>
    <t>Health, Safety and Nutrition</t>
  </si>
  <si>
    <t>This course covers promoting and maintaining the health and well-being of every child. Topics include health and nutritional guidelines, common childhood illnesses, maintaining safe and healthy learning environments, health benefits of active play, recognition and reporting of abuse/neglect, and state regulations. Upon completion, students should be able to apply knowledge of NC Foundations for Early Learning and Development for health, safety, nutritional needs and safe learning environments.&lt;br /&gt;&lt;br /&gt;</t>
  </si>
  <si>
    <t>EDU-154</t>
  </si>
  <si>
    <t>Social/Emotion/Behavior Development</t>
  </si>
  <si>
    <t>This course covers the emotional/social development of young children and the varied causes, expressions, prevention methods and management strategies of challenging behaviors. Emphasis is placed on culturally responsive and supportive caregiver/family/child relationships, positive emotional/social environments, developmental concerns, risk factors, and planning culturally responsive, equitable, developmentally appropriate intervention strategies. Upon completion, students should be able to identify factors that influence emotional/social development, utilize screening measures, and design positive behavioral supports for children and the environment, as well as effective teaching strategies.  &lt;br /&gt;&lt;br /&gt;</t>
  </si>
  <si>
    <t>EDU-157</t>
  </si>
  <si>
    <t>Active Play</t>
  </si>
  <si>
    <t>This course introduces physical activities to promote the development of children with diverse abilities, birth through middle childhood. Topics include active play, outdoor learning, design of the environment, development of play skills, loose parts play, nature play, risk/benefit assessment, advocacy, and family/community connection. Upon completion, students should be able to discuss the stages of play, the role of teachers in play, active play environments, advocate for the child's right to play, and plan and assess culturally responsive, equitable and developmentally appropriate experiences using NC Foundations for Early Learning and Development.&lt;br /&gt;&lt;br /&gt;</t>
  </si>
  <si>
    <t>EDU-158</t>
  </si>
  <si>
    <t>Healthy Lifestyles-Youth</t>
  </si>
  <si>
    <t>This course covers maintaining the health and well-being of all school-age children. Topics include health, safety, nutrition, physical activities, and environments that promote development, fitness, and healthy lifestyles. Upon completion, students should be able to plan developmentally appropriate, safe/healthy physical activities that support the healthy development of school-age children, be able to plan and identify healthy eating choices that support healthy development as well as design safety policies and procedures and environments that promote healthy lifestyles.&lt;br /&gt;&lt;br /&gt;</t>
  </si>
  <si>
    <t>EDU-159</t>
  </si>
  <si>
    <t>Health and Safety for Early Childhood</t>
  </si>
  <si>
    <t>This course covers maintaining the health and safety of young children in licensed child care facilities. Topics include universal precautions, emergency preparedness, early childhood mental health, safety regulations, child maltreatment, shaken baby syndrome, CPR/First Aid, ITS-SIDS, playground safety, medication administration, communicable diseases, immunizations, and transportation. Upon completion, students should be able to safely prevent/manage infectious diseases, medications, food/allergic reactions, transporting children, response to natural disasters, universal precautions, CPR/First Aid, child maltreatment, safety regulations from licensing and sanitation, and foster resilient environments.&lt;br /&gt;&lt;br /&gt;</t>
  </si>
  <si>
    <t>EDU-161</t>
  </si>
  <si>
    <t>Introduction to Exceptional Children</t>
  </si>
  <si>
    <t>This course covers children with exceptionalities as life long learners within the context of the community, school and family. Emphasis is placed on inclusion, legal, social/political, environmental, and cultural issues relating to the teaching of children with exceptionalities. Upon completion, students should be able to demonstrate knowledge of identification processes, inclusive techniques, and professional practices and attitudes.&lt;br /&gt;&lt;br /&gt;</t>
  </si>
  <si>
    <t>EDU-162</t>
  </si>
  <si>
    <t>Observation and Assessment in Early Childhood Education</t>
  </si>
  <si>
    <t>This course introduces the research, benefits, goals, and ethical considerations associated with observation and formative assessment in early childhood education. Emphasis is placed on the implementation of multiple observation/assessment strategies including anecdotal records, event samples, rating scales, and portfolios to identify specific needs of individual children with diverse abilities and to create appropriate learning experiences. Upon completion, students should be able to practice responsible assessment and effectively use tools to assess the child, teacher practices and indoor and outdoor environments to enhance programming; and explain the importance of assessment partnerships with families and other professionals.&lt;br /&gt;&lt;br /&gt;</t>
  </si>
  <si>
    <t>EDU-163</t>
  </si>
  <si>
    <t>Classroom Management and Instruction</t>
  </si>
  <si>
    <t>This course examines classroom management and evidence-based instructional strategies that create supportive learning environments to provide culturally, linguistically and developmentally appropriate guidance for school-age populations. Topics include classroom management and organization, teaching strategies, individual student differences and learning styles, ongoing systematic observation, and developmentally appropriate classroom guidance techniques. Upon completion, student should be able to utilize developmentally appropriate behavior management, utilize high-quality instructional strategies that enhance the teaching/learning process and promote students' academic success.&lt;br /&gt;&lt;br /&gt;</t>
  </si>
  <si>
    <t>EDU-173</t>
  </si>
  <si>
    <t>Becoming a Professional in Early Childhood Education</t>
  </si>
  <si>
    <t>This course is an introduction to the early childhood profession. Emphasis is placed on the NAEYC Code of Ethical Conduct, personal growth through involvement in professional organizations, advocacy for children and the profession, and the importance of a professional portfolio. Upon completion, students should be able to identify professional resources and community partners and demonstrate essential advocacy skills while involving oneself in the early childhood field.&lt;br /&gt;&lt;br /&gt;</t>
  </si>
  <si>
    <t>EDU-184</t>
  </si>
  <si>
    <t>Early Childhood Introductory Practicum</t>
  </si>
  <si>
    <t>This course introduces students to early childhood settings and applying skills in a three star (minimum) or NAEYC accredited or equivalent, quality early childhood environment. Emphasis is placed on observing children, assisting in the implementation of developmentally appropriate, culturally responsive, equitable, and ability diverse activities in indoor/outdoor environments for young children, supporting/engaging families, and modeling reflective/professional practices based on national/state guidelines. Upon completion, students should be able to implement respectful/reciprocal relationships with children and families, design, implement, and adapt developmentally appropriate activities, plans, and daily routines that align with NC Foundations for Early Learning and Development and demonstrate ethical/professional behaviors as indicated by assignments and onsite/virtual faculty assessments.&lt;br /&gt;&lt;br /&gt;</t>
  </si>
  <si>
    <t>EDU-187</t>
  </si>
  <si>
    <t>Teaching and Learning for All</t>
  </si>
  <si>
    <t>This course introduces students to knowledge, concepts, and best practices needed to provide developmentally appropriate, effective, inclusive, and culturally responsive educational experiences in the classroom. Topics include growth and development, learning theory, student motivation, teaching diverse learners, classroom management, inclusive environments, student-centered practices, instructional strategies, teaching methodologies, observation/assessment techniques, educational planning, reflective practice, collaboration, cultural competence, ethics, professionalism, and leadership. Upon completion, students should be able to identify the knowledge, skills, roles, and responsibilities of an effective educator as defined by state and national professional teaching standards.&lt;br /&gt;&lt;br /&gt;</t>
  </si>
  <si>
    <t>EDU-188</t>
  </si>
  <si>
    <t>Trends/Policies in Early Childhood</t>
  </si>
  <si>
    <t>This course covers current topics and policies in the diverse and inclusive field of early childhood education that affect young children, families, communities, and professionals. Emphasis is placed on but not limited to advocacy, equity, bias and social justice, emerging research, professionalism, reflective practice, and legal/ethical concerns. Upon completion, student should be able to list, discuss, and explain current trends/policies in early childhood education as well as develop an advocacy plan based on course content.&lt;br /&gt;&lt;br /&gt;</t>
  </si>
  <si>
    <t>EDU-216</t>
  </si>
  <si>
    <t>Foundations of Education</t>
  </si>
  <si>
    <t>This course introduces the examination of the American educational systems and the teaching profession. Topics include the historical and philosophical influences on education, various perspectives on educational issues, and experiences in birth through grade 12 classrooms. Upon completion, students should be able to reflect on classroom observations, analyze the different educational approaches, including classical/traditional and progressive, and have knowledge of the various roles of educational systems at the federal, state and local level.&lt;br /&gt;
&lt;br /&gt;
&lt;i&gt;Note:  This course has been approved for transfer under the CAA as a premajor and/or elective course requirement. This course has been approved for transfer under the ICAA as a premajor and/or elective course requirement.&lt;/i&gt;&lt;br /&gt;&lt;br /&gt;</t>
  </si>
  <si>
    <t>EDU-221</t>
  </si>
  <si>
    <t>Children With Exceptionalities</t>
  </si>
  <si>
    <t>This course covers atypical patterns of child development, inclusive/diverse settings, evidenced-based educational/family plans, differentiated instruction, adaptive materials, and assistive technology. Emphasis is placed on the characteristics of exceptionalities and delays, early intervention/special education, transitions, observation, developmental screening, formative assessment of children, and collaborating with families and community partners. Upon completion, students should be able to recognize diverse abilities, describe the referral process, identify community resources, explain the importance of collaboration with families/professionals, and develop appropriate strategies/adaptations to support children in all environments with best practices as defined by laws, policies and the NC Foundations for Early Learning and Development.&lt;br /&gt;
&lt;br /&gt;
&lt;i&gt;Note:  This course has been approved for transfer under the CAA as a premajor and/or elective course requirement. This course has been approved for transfer under the ICAA as a premajor and/or elective course requirement.&lt;/i&gt;&lt;br /&gt;&lt;br /&gt;</t>
  </si>
  <si>
    <t>EDU-223</t>
  </si>
  <si>
    <t>Specific Learning Disabilities</t>
  </si>
  <si>
    <t>This course provides a comprehensive study of characteristics, alternative assessments, teaching strategies, placement options, inclusion, and family intervention for children with specific learning disabilities. Topics include causes, assessment instruments, learning strategies, and collaborative/inclusion methods for children with specific learning disabilities. Upon completion, students should be able to assist in identifying, assessing, and providing educational interventions for children with specific learning disabilities and their families. &lt;br /&gt;&lt;br /&gt;</t>
  </si>
  <si>
    <t>EDU-234</t>
  </si>
  <si>
    <t>Infants, Toddlers, and Twos</t>
  </si>
  <si>
    <t>This course covers the development of high-quality, individualized, responsive/engaging relationships and experiences for infants, toddlers, and twos. Emphasis is placed on typical and atypical child development, working with diverse families to provide positive, supportive, and engaging early learning activities and interactions through field experiences and the application of the NC Foundations for Early Learning and Development. Upon completion, students should be able to demonstrate responsive curriculum planning, respectful relationships and exposure to a variety of developmentally appropriate experiences/materials that support a foundation for healthy development and growth of culturally, linguistically and ability diverse children birth to 36 months.&lt;br /&gt;&lt;br /&gt;</t>
  </si>
  <si>
    <t>EDU-235</t>
  </si>
  <si>
    <t>School-Age Development and Programs</t>
  </si>
  <si>
    <t>This course includes developmentally appropriate practices in group settings for school-age children. Emphasis is placed on principles of development, environmental planning, and positive guidance techniques and program development. Upon completion, students should be able to discuss developmental principles for culturally, linguistically, and ability diverse children ages five to twelve and plan and implement developmentally appropriate programs and activities.&lt;br /&gt;&lt;br /&gt;</t>
  </si>
  <si>
    <t>EDU-247</t>
  </si>
  <si>
    <t>Sensory and Physical Disabilities</t>
  </si>
  <si>
    <t>This course covers characteristics, intervention strategies, assistive technologies, and inclusive practices for children with sensory and physical disabilities. Topics include inclusive placement options, utilization of support services, other health impairments and family involvement for children with sensory and physical disabilities. Upon completion, students should be able to identify and utilize intervention strategies and service delivery options for those specific disabilities. &lt;br /&gt;&lt;br /&gt;</t>
  </si>
  <si>
    <t>EDU-248</t>
  </si>
  <si>
    <t>Developmental Delays</t>
  </si>
  <si>
    <t>This course covers the causes and assessment of developmental delays and individualized instruction and curriculum for children with developmental delays. Emphasis is placed on definition, characteristics, assessment, educational strategies, inclusion, family involvement, and services for children with developmental delays. Upon completion, students should be able to identify, assess, and plan educational intervention strategies for children with developmental delays and their families. &lt;br /&gt;&lt;br /&gt;</t>
  </si>
  <si>
    <t>EDU-250</t>
  </si>
  <si>
    <t>Teacher Licensure Preparation</t>
  </si>
  <si>
    <t>This course provides information and strategies necessary for transfer to a teacher licensure program at a senior institution. Topics include entry level teacher licensure exam preparation, performance based assessment systems, requirements for entry into teacher education programs, the process to become a licensed teacher in North Carolina, and professionalism including expectations within the field of education. Upon completion, students should be able to utilize educational terminology and demonstrate knowledge of teacher licensure processes including exam preparation, technology based portfolio assessment, and secondary admissions processes to the school of education at a senior institution.&lt;br /&gt;&lt;br /&gt;</t>
  </si>
  <si>
    <t>EDU-259</t>
  </si>
  <si>
    <t>Curriculum Planning</t>
  </si>
  <si>
    <t>This course is designed to focus on using content knowledge to build effective developmentally appropriate approaches that are culturally responsive, equitable, and ability diverse for young children. Topics include components of curriculum, a variety of curriculum models, authentic observation and assessment, and planning developmentally appropriate experiences and indoor/outdoor environments aligned with the NC Foundations for Early Learning and Development. Upon completion, students should be able to understand, evaluate, and use developmentally appropriate curriculum to plan for the individual/group needs of young children. &lt;br /&gt;&lt;br /&gt;</t>
  </si>
  <si>
    <t>EDU-261</t>
  </si>
  <si>
    <t>Early Childhood Administration I</t>
  </si>
  <si>
    <t>This course introduces principles and practices essential to preparing and supporting child care administrators. Topics include program philosophy, policies and procedures, NC Child Care Law and Rules, business planning, personnel and fiscal management, and NAEYC Code of Ethical Conduct Supplement for Early Childhood Program Administration. Upon completion, students should be able to articulate a developmentally appropriate program philosophy, locate current state licensing regulations, analyze a business plan and examine comprehensive program policies and procedures.&lt;br /&gt;&lt;br /&gt;</t>
  </si>
  <si>
    <t>EDU-262</t>
  </si>
  <si>
    <t>Early Childhood Administration II</t>
  </si>
  <si>
    <t>This course focuses on advocacy/leadership, public relations/community outreach and program quality/evaluation for diverse early childhood programs. Topics include program evaluation/accreditation, involvement in early childhood professional organizations, leadership/mentoring, family, volunteer and community involvement and early childhood advocacy. Upon completion, students should be able to define and evaluate all components of early childhood programs, develop strategies for advocacy and integrate community into programs. &lt;br /&gt;&lt;br /&gt;</t>
  </si>
  <si>
    <t>EDU-263</t>
  </si>
  <si>
    <t>School-Age Program Administration</t>
  </si>
  <si>
    <t>This course introduces the methods and procedures for development and administration of school-age programs in the public or proprietary setting. Emphasis is placed on the construction and organization of the physical environment. Upon completion, student should be able to plan, develop and administer a quality school-age program. &lt;br /&gt;&lt;br /&gt;</t>
  </si>
  <si>
    <t>EDU-270</t>
  </si>
  <si>
    <t>Effective Instructional Environments</t>
  </si>
  <si>
    <t>This course is designed to provide learners with the knowledge and skills to create, manage, and assess effective instructional environments, learning attitudes, and behaviors for today's diverse learning population. Topics include organizing the learning environment, fostering positive learning attitudes, supporting healthy stakeholder partnerships, engaging students using effective differentiated instruction, guiding, and managing student behaviors, and assessing student progress. Upon completion of this course, learners will demonstrate effective dispositions of the professional educator that include managing schedules, spaces, and resources, promoting supportive learning mindsets, engaging students with diverse instructional strategies, guiding student behaviors to maximize both the instructional and social climate, and analyzing and effectively responding to student progress. &lt;br /&gt;&lt;br /&gt;</t>
  </si>
  <si>
    <t>EDU-271</t>
  </si>
  <si>
    <t>Educational Technology</t>
  </si>
  <si>
    <t>This course introduces the appropriate and ethical use of technology that is inclusive of digital and analog materials/tools to enhance teaching and learning in all educational settings. Emphasis is placed on the developmentally appropriate use of technology with children, ethical issues, digital citizenship, instructional strategies, assistive technology, and the use of technology for professional development and communication with families. Upon completion, student should be able to demonstrate professional and ethical implementation of various modes of technology in culturally responsive and equitable ways to support diverse children, families and communities. &lt;br /&gt;&lt;br /&gt;</t>
  </si>
  <si>
    <t>EDU-272</t>
  </si>
  <si>
    <t>Technology, Data, &amp; Assessment</t>
  </si>
  <si>
    <t>This course is designed to provide students with the knowledge and skills to utilize digital instructional technologies and technology-based assessments to plan and implement appropriate educational experiences and interventions in the classroom. Topics include educational technology to enhance instruction, instructional technologies for teaching, technology-based assessment, formative and summative assessments, data to inform practice, and ethical practices for technology and assessment. Upon completion, students will be able to demonstrate effective integration of educational technology into classroom practice, appropriate use of technology-based assessments, and practical application of data to inform educational planning and interventions.&lt;br /&gt;&lt;br /&gt;</t>
  </si>
  <si>
    <t>EDU-275</t>
  </si>
  <si>
    <t>Effective Teacher Training</t>
  </si>
  <si>
    <t>This course provides specialized training using an experienced-based approach to learning. Topics include instructional preparation and presentation, student interaction, time management, learning expectations, evaluation, and curriculum principles and planning. Upon completion, students should be able to prepare and present a six-step lesson plan and demonstrate ways to improve students' time-on-task. &lt;br /&gt;&lt;br /&gt;</t>
  </si>
  <si>
    <t>EDU-277</t>
  </si>
  <si>
    <t>Integrated Curriculum Instruction:  Math/Science</t>
  </si>
  <si>
    <t>This course is designed to provide learners with the content knowledge, instructional methods/materials, and assessment techniques needed to provide research-based math and science K - 12 instruction. Topics include essential math and science concepts and skills, developmentally appropriate pedagogy, culturally responsive instruction, standards-based outcomes, technology enhanced lesson planning, formative/summative assessments, research-based interventions, authentic learning experiences, and reflective practice. Upon completion, learners will be able to plan, implement, assess, and reflect on developmentally appropriate math and science instruction aligned to the NC Standard Course of Study, other professional and national standards.&lt;br /&gt;&lt;br /&gt;</t>
  </si>
  <si>
    <t>EDU-278</t>
  </si>
  <si>
    <t>Integrated Curriculum Instruction:  Social Studies/ELA</t>
  </si>
  <si>
    <t>This course is designed to provide learners with the content knowledge, instructional methods/materials, and assessment techniques needed to provide research-based social studies and ELA K -12 instruction. Topics include essential social studies and ELA concepts and skills, developmentally appropriate pedagogy, culturally responsive instruction, standards-based outcomes, technology enhanced lesson planning, formative/summative assessments, research-based interventions, authentic learning experiences, and reflective practice. Upon completion, learners will be able to plan, implement, assess, and reflect on developmentally appropriate social studies and ELA instruction aligned to the NC Standard Course of Study, other professional and national standards.&lt;br /&gt;&lt;br /&gt;</t>
  </si>
  <si>
    <t>EDU-279</t>
  </si>
  <si>
    <t>Literacy Development and Instruction</t>
  </si>
  <si>
    <t>This course is designed to provide students with concepts and skills of literacy development, instructional methods/materials and assessment techniques needed to provide scientifically based, systematic reading and writing instruction into educational practice. Topics include literacy concepts, reading and writing development, developmentally appropriate pedagogy, culturally-responsive instruction, standards-based outcomes, lesson planning, formative/summative assessment, recognizing reading difficulties, research-based interventions, authentic learning experiences, classroom implementation, and reflective practice. Upon completion, students should be able to plan, implement, assess, evaluate, and demonstrate developmentally appropriate literacy instruction aligned to the NC Standard Course of Study and other state and national standards.&lt;br /&gt;&lt;br /&gt;</t>
  </si>
  <si>
    <t>EDU-280</t>
  </si>
  <si>
    <t>Language and Literacy Experiences</t>
  </si>
  <si>
    <t>This course provides evidence-based strategies for enhancing language and literacy experiences that align with NC Foundations for Early Learning and Development. Topics include developmental sequences for children's emergent receptive and expressive language, print concepts, appropriate observations/assessments, literacy enriched environments, quality selection of diverse literature, interactive media, and inclusive practices. Upon completion, students should be able to select, plan, implement and evaluate developmentally appropriate language and literacy experiences for children who are culturally, linguistically and ability diverse.&lt;br /&gt;&lt;br /&gt;</t>
  </si>
  <si>
    <t>EDU-283</t>
  </si>
  <si>
    <t>Educator Preparation Practicum</t>
  </si>
  <si>
    <t>This course is designed to allow learners to demonstrate acquired skills and competencies in a developmentally appropriate learning environment. Topics include dispositions of effective teachers, portfolio assessment development, reflective practice, teaching methods, assessment strategies, and professional practices based on state and national Teaching Standards. Upon completion, learners should be able to provide a portfolio assessment with evidence of ethical/professional standards, respect for a diverse population in learning environments, content knowledge, appropriate guidance intervention, and grade-level technology enhanced lesson planning/assessments through practices in the classroom environment.&lt;br /&gt;&lt;br /&gt;</t>
  </si>
  <si>
    <t>EDU-284</t>
  </si>
  <si>
    <t>Early Childhood Capstone Practicum</t>
  </si>
  <si>
    <t>This course is designed to allow students to demonstrate acquired skills in a three star (minimum) or NAEYC accredited or equivalent, quality early childhood environment. Emphasis is placed on designing, implementing and evaluating developmentally appropriate activities and environments for all children; supporting/engaging families; and modeling reflective and professional practices based on national and state guidelines. Upon completion, students should be able to apply NC Foundations for Early Learning and Development to demonstrate developmentally appropriate plans/assessments, appropriate guidance techniques and ethical/professional behaviors, including the use of appropriate technology, as indicated by assignments and onsite faculty assessments.&lt;br /&gt;&lt;br /&gt;</t>
  </si>
  <si>
    <t>EGR-150</t>
  </si>
  <si>
    <t>Introduction to Engineering</t>
  </si>
  <si>
    <t>Engineering (EGR)</t>
  </si>
  <si>
    <t>This course is an overview of the engineering profession. Topics include goal setting and career assessment, ethics, public safety, the engineering method and design process, written and oral communication, interpersonal skills and team building, and computer applications. Upon completion, students should be able to understand the engineering process, the engineering profession, and utilize college resources to meet their educational goals.&lt;br /&gt;
&lt;br /&gt;
&lt;i&gt;Note:  In accordance with the Comprehensive Articulation Agreement, this course has been approved to satisfy the pre-major/elective requirement in A.A., A.E., and A.S. degree programs.&lt;/i&gt;&lt;br /&gt;&lt;br /&gt;</t>
  </si>
  <si>
    <t>EGR-250</t>
  </si>
  <si>
    <t>Statics/Strength of Materials</t>
  </si>
  <si>
    <t>This course includes vector analysis, equilibrium of force systems, friction, sectional properties, stress/strain, and deformation. Topics include resultants and components of forces, moments and couples, free-body diagrams, shear and moment diagrams, trusses, frames, beams, columns, connections, and combined stresses. Upon completion, students should be able to analyze simple structures. &lt;br /&gt;&lt;br /&gt;</t>
  </si>
  <si>
    <t>EGR-285</t>
  </si>
  <si>
    <t>Design Project</t>
  </si>
  <si>
    <t>This course provides the opportunity to design an instructor-approved project using previously acquired skills. Emphasis is placed on selection, proposal, design, testing, and documentation of the approved project. Upon completion, students should be able to present and demonstrate projects. &lt;br /&gt;&lt;br /&gt;</t>
  </si>
  <si>
    <t>ELC-112</t>
  </si>
  <si>
    <t>DC/AC Electricity</t>
  </si>
  <si>
    <t>Electrical (ELC)</t>
  </si>
  <si>
    <t>This course introduces the fundamental concepts of and computations related to DC/AC electricity. Emphasis is placed on DC/AC circuits, components, operation of test equipment; and other related topics. Upon completion students should be able to construct, verify, and analyze simple DC/AC circuits. &lt;br /&gt;&lt;br /&gt;</t>
  </si>
  <si>
    <t>ELC-117</t>
  </si>
  <si>
    <t>Motors and Controls</t>
  </si>
  <si>
    <t>This course introduces the fundamental concepts of motors and motor controls. Topics include ladder diagrams, pilot devices, contactors, motor starters, motors, and other control devices. Upon completion, students should be able to properly select, connect, and troubleshoot motors and control circuits. &lt;br /&gt;&lt;br /&gt;</t>
  </si>
  <si>
    <t>ELC-128</t>
  </si>
  <si>
    <t>Introduction to Programmable Logic Controller</t>
  </si>
  <si>
    <t>This course introduces the programmable logic controller (PLC) and its associated applications. Topics include ladder logic diagrams, input/output modules, power supplies, surge protection, selection/installation of controllers, and interfacing of controllers with equipment. Upon completion, students should be able to understand basic PLC systems and create simple programs. &lt;br /&gt;&lt;br /&gt;</t>
  </si>
  <si>
    <t>ELC-131</t>
  </si>
  <si>
    <t>Circuit Analysis I</t>
  </si>
  <si>
    <t>This course introduces DC and AC electricity with an emphasis on circuit analysis, measurements, and operation of test equipment. Topics include DC and AC principles, circuit analysis laws and theorems, components, test equipment operation, circuit simulation, and other related topics. Upon completion, students should be able to interpret circuit schematics; design, construct, verify, and analyze DC/AC circuits; and properly use test equipment. &lt;br /&gt;&lt;br /&gt;</t>
  </si>
  <si>
    <t>ELC-213</t>
  </si>
  <si>
    <t>Instrumentation</t>
  </si>
  <si>
    <t>This course covers the fundamentals of instrumentation used in industry. Emphasis is placed on electric, electronic, and other instruments. Upon completion, students should be able to install, maintain, and calibrate instrumentation. &lt;br /&gt;&lt;br /&gt;</t>
  </si>
  <si>
    <t>ELN-131</t>
  </si>
  <si>
    <t>Analog Electronics I</t>
  </si>
  <si>
    <t>Electronics (ELN)</t>
  </si>
  <si>
    <t>This course introduces the characteristics and applications on semiconductor devices and circuits. Emphasis is placed on analysis, selection, biasing, and applications. Upon completion, students should be able to construct, analyze, verify, and troubleshoot analog circuits using appropriate techniques and test equipment. &lt;br /&gt;&lt;br /&gt;</t>
  </si>
  <si>
    <t>ELN-133</t>
  </si>
  <si>
    <t>Digital Electronics</t>
  </si>
  <si>
    <t>This course covers combinational and sequential logic circuits. Topics include number systems, Boolean algebra, logic families, medium scale integration (MSI) and large scale integration (LSI) circuits, analog to digital (AD) and digital to analog (DA) conversion, and other related topics. Upon completion, students should be able to construct, analyze, verify, and troubleshoot digital circuits using appropriate techniques and test equipment. &lt;br /&gt;&lt;br /&gt;</t>
  </si>
  <si>
    <t>ELN-229</t>
  </si>
  <si>
    <t>Industrial Electronics</t>
  </si>
  <si>
    <t>This course covers semiconductor devices used in industrial applications. Topics include the basic theory, application, and operating characteristics of semiconductor devices. Upon completion, students should be able to construct and/or troubleshoot these devices for proper operation in an industrial electronic circuit. &lt;br /&gt;&lt;br /&gt;</t>
  </si>
  <si>
    <t>ELN-231</t>
  </si>
  <si>
    <t>Industrial Controls</t>
  </si>
  <si>
    <t>This course introduces the fundamental concepts of control of rotating machinery and associated peripheral devices. Topics include rotating machine theory, ladder logic,
electromechanical and solid state relays, motor controls, pilot devices, three-phase power systems, and other related topics. Upon completion, students should be able to interpret schematics and demonstrate an understanding of electromechanical and electronic control of rotating machinery.&lt;br /&gt;&lt;br /&gt;</t>
  </si>
  <si>
    <t>ELN-232</t>
  </si>
  <si>
    <t>Introduction to Microprocessors</t>
  </si>
  <si>
    <t>This course introduces microprocessor architecture and microcomputer systems including memory and input/output interfacing. Topics include low-level language programming, bus architecture, I/O systems, memory systems, interrupts, and other related topics. Upon completion, students should be able to interpret, analyze, verify, and troubleshoot fundamental microprocessor circuits and programs using appropriate techniques and test equipment. &lt;br /&gt;&lt;br /&gt;</t>
  </si>
  <si>
    <t>ELN-260</t>
  </si>
  <si>
    <t>Programmable Logic Controllers</t>
  </si>
  <si>
    <t>This course provides a detailed study of PLC applications, with a focus on design of industrial controls using the PLC. Topics include PLC components, memory organization, math instructions, documentation, input/output devices, and applying PLCs in industrial control systems. Upon completion, students should be able to select and program a PLC system to perform a wide variety of industrial control functions. &lt;br /&gt;&lt;br /&gt;</t>
  </si>
  <si>
    <t>EME-111</t>
  </si>
  <si>
    <t>911 Communications &amp; Operations I</t>
  </si>
  <si>
    <t>Emergency Management (EME)</t>
  </si>
  <si>
    <t>This course is designed to introduce the student to the role of a telecommunicator and the duties and responsibilities performed by the first, first responder in the public safety system. Topics include an introduction to the telecommunicator profession, technology in an emergency communications center, ethics and values, basics of call taking, documenting, and dispatching in a Public Safety Answering Point (PSAP), effective communications, cultural awareness, critical thinking, and problem solving. Upon completion, students should be able to demonstrate an understanding of the role and function of telecommunicators within the 911 system; call processes and radio procedures for law enforcement, fire, and medical dispatch; and the role of telecommunicators within emergency management, incident command, and the Telecommunicator Emergency Response Taskforce (TERT).&lt;br /&gt;&lt;br /&gt;</t>
  </si>
  <si>
    <t>EME-112</t>
  </si>
  <si>
    <t>911 Communications &amp; Operations II</t>
  </si>
  <si>
    <t>This course is designed to introduce the student to the various roles, functions, and governance models that impact a Public Safety Answering Point (PSAP). Topics include an introduction to human resources, employee relations, local government finance, federal and local legislation and oversight of a PSAP, cybersecurity policies and procedures, Next Generation technology and applications, policy and procedure writing, and grant writing. Upon completion, students should be able to demonstrate an understanding of human resources processes as a telecommunicator, basic budgeting and finance, general knowledge of cybersecurity practices, Next Generation technology and applications in the PSAP and an introduction to federal and state legislation relating to 911 and grant writing.&lt;br /&gt;&lt;br /&gt;</t>
  </si>
  <si>
    <t>EME-211</t>
  </si>
  <si>
    <t>Advanced 911 Communications &amp; Operations</t>
  </si>
  <si>
    <t>This course is designed to provide advanced studies in 911 Communication and Operations for a 911 Telecommunicator. Topics include appropriate telecommunicator response to situations such as terrorism, active shooters/active assailants, missing or exploited persons, human trafficking, suicidal callers, domestic violence, and high-priority/low-frequency emergency events, and identification of strategies that support telecommunicator mental and physical wellbeing. Upon completion, students should be able to define and describe terrorism, active shooter, missing and exploited children and persons, human trafficking, suicide intervention involving callers, domestic violence, and critical incidents, and the telecommunicator's roles when these incidents are presented in the Public Safety Answering Point (PSAP).&lt;br /&gt;&lt;br /&gt;</t>
  </si>
  <si>
    <t>EMS-110</t>
  </si>
  <si>
    <t>EMT</t>
  </si>
  <si>
    <t>Emergency Medical Science (EMS)</t>
  </si>
  <si>
    <t>This course introduces basic emergency medical care. Topics include preparatory, airway, patient assessment, medical emergencies, trauma, infants and children, and operations. Upon completion, students should be able to demonstrate the knowledge and skills necessary to achieve North Carolina State or National Registry EMT certification.&lt;br /&gt;&lt;br /&gt;</t>
  </si>
  <si>
    <t>EMS-122</t>
  </si>
  <si>
    <t>EMS Clinical Practicum I</t>
  </si>
  <si>
    <t>This course provides the introductory hospital clinical experience for the paramedic student. Emphasis is placed on mastering fundamental paramedic skills. Upon completion, students should be able to demonstrate competency with fundamental paramedic level skills.&lt;br /&gt;&lt;br /&gt;</t>
  </si>
  <si>
    <t>EMS-130</t>
  </si>
  <si>
    <t>Pharmacology</t>
  </si>
  <si>
    <t>This course introduces the fundamental principles of pharmacology and medication administration and is required for paramedic certification. Topics include medical terminology, pharmacological concepts, weights, measures, drug calculations, vascular access for fluids and medication administration and legislation. Upon completion, students should be able to accurately calculate drug dosages, properly administer medications, and demonstrate general knowledge of pharmacology.&lt;br /&gt;&lt;br /&gt;</t>
  </si>
  <si>
    <t>EMS-131</t>
  </si>
  <si>
    <t>Advanced Airway Management</t>
  </si>
  <si>
    <t>This course is designed to provide advanced airway management techniques and is required for paramedic certification. Topics must meet current guidelines for advanced airway management in the pre-hospital setting. Upon completion, students should be able to properly utilize all airway adjuncts and pharmacology associated with airway control and maintenance.&lt;br /&gt;&lt;br /&gt;</t>
  </si>
  <si>
    <t>EMS-160</t>
  </si>
  <si>
    <t>Cardiology I</t>
  </si>
  <si>
    <t>This course introduces the study of cardiovascular emergencies and is required for paramedic certification. Topics include anatomy and physiology, pathophysiology, electrophysiology, and rhythm interpretation. Upon completion, students should be able to recognize and interpret rhythms.&lt;br /&gt;&lt;br /&gt;</t>
  </si>
  <si>
    <t>EMS-220</t>
  </si>
  <si>
    <t>Cardiology II</t>
  </si>
  <si>
    <t>This course provides an in-depth study of cardiovascular emergencies and is required for paramedic certification. Topics include assessment and treatment of cardiac emergencies, cardiac pharmacology, and patient care. Upon completion, students should be able to manage the cardiac patient.&lt;br /&gt;&lt;br /&gt;</t>
  </si>
  <si>
    <t>EMS-221</t>
  </si>
  <si>
    <t>EMS Clinical Practicum II</t>
  </si>
  <si>
    <t>This course provides clinical experiences in the hospital and/or field. Emphasis is placed on increasing the proficiency of students' skills and abilities in patient assessments and the delivery of care. Upon completion, students should be able to demonstrate continued progress in advanced-level patient care.&lt;br /&gt;&lt;br /&gt;</t>
  </si>
  <si>
    <t>EMS-231</t>
  </si>
  <si>
    <t>EMS Clinical Practicum III</t>
  </si>
  <si>
    <t>This course provides clinical experiences in the hospital and/or field. Emphasis is placed on enhancing the students' skills and abilities in providing advanced-level care. Upon completion, students should be able to demonstrate continued progress in advanced-level patient care.&lt;br /&gt;&lt;br /&gt;</t>
  </si>
  <si>
    <t>EMS-235</t>
  </si>
  <si>
    <t>EMS Management</t>
  </si>
  <si>
    <t>This course stresses the principles of managing a modern emergency medical service system. Topics include structure and function of municipal governments, EMS grantsmanship, finance, regulatory agencies, system management, legal issues, and other topics relevant to the EMS manager. Upon completion, students should be able to understand the principles of managing emergency medical service delivery systems.&lt;br /&gt;&lt;br /&gt;</t>
  </si>
  <si>
    <t>EMS-240</t>
  </si>
  <si>
    <t>Patients with Special Challenges</t>
  </si>
  <si>
    <t>This course includes concepts of crisis intervention and techniques of interacting with patients with special challenges and is required for paramedic certification. Topics include appropriate intervention and interaction for neglected, abused, terminally ill, chronically ill, technology assisted, bariatric, physically challenged, mentally challenged, or assaulted patients as well as behavioral emergencies. Upon completion, students should be able to recognize and manage the care of patients with special challenges.&lt;br /&gt;&lt;br /&gt;</t>
  </si>
  <si>
    <t>EMS-241</t>
  </si>
  <si>
    <t>EMS Clinical Practicum IV</t>
  </si>
  <si>
    <t>This course provides clinical experiences in the hospital and/or field. Emphasis is placed on mastering the skills/competencies required of the paramedic providing advanced-level care. Upon completion, students should be able to provide advanced-level patient care as an entry-level paramedic.&lt;br /&gt;&lt;br /&gt;</t>
  </si>
  <si>
    <t>EMS-250</t>
  </si>
  <si>
    <t>Medical Emergencies</t>
  </si>
  <si>
    <t>This course provides an in-depth study of medical conditions frequently encountered in the prehospital setting and is required for paramedic certification. Topics include appropriate interventions/treatments for disorders/diseases/injuries affecting the following systems: respiratory, neurological, abdominal/gastrointestinal, endocrine, genitourinary, musculoskeletal, and immunological as well as toxicology, infectious diseases and diseases of the eyes, ears, nose and throat. Upon completion, students should be able to recognize, assess and manage the care of frequently encountered medical conditions based upon initial patient assessment.&lt;br /&gt;&lt;br /&gt;</t>
  </si>
  <si>
    <t>EMS-260</t>
  </si>
  <si>
    <t>Trauma Emergencies</t>
  </si>
  <si>
    <t>This course provides in-depth study of trauma including pharmacological interventions for conditions frequently encountered in the prehospital setting and is required for paramedic certification. Topics include an overview of thoracic, abdominal, genitourinary, orthopedic, neurological, and multi-system trauma, soft tissue trauma of the head, neck, and face as well as environmental emergencies. Upon completion, students should be able to recognize and manage trauma situations based upon patient assessment and should adhere to standards of care.&lt;br /&gt;&lt;br /&gt;</t>
  </si>
  <si>
    <t>EMS-270</t>
  </si>
  <si>
    <t>Life Span Emergencies</t>
  </si>
  <si>
    <t>This course covers medical/ethical/legal issues and the spectrum of age-specific emergencies from conception through death required for paramedic certification. Topics include gynecological, obstetrical, neonatal, pediatric, and geriatric emergencies and pharmacological therapeutics. Upon completion, students should be able to recognize and treat age-specific emergencies.&lt;br /&gt;&lt;br /&gt;</t>
  </si>
  <si>
    <t>EMS-280</t>
  </si>
  <si>
    <t>EMS Bridging Course</t>
  </si>
  <si>
    <t>This course is designed to provide currently credentialed state or national Paramedic students with the most current education trends in Paramedic Practice. Emphasis is placed on transitions in healthcare. Upon completion, students should be able to integrate emerging trends in pre-hospital care.&lt;br /&gt;&lt;br /&gt;</t>
  </si>
  <si>
    <t>EMS-285</t>
  </si>
  <si>
    <t>EMS Capstone</t>
  </si>
  <si>
    <t>This course provides an opportunity to demonstrate problem-solving skills as a team leader in simulated patient scenarios and is required for paramedic certification. Emphasis is placed on critical thinking, integration of didactic and psychomotor skills, and effective performance in simulated emergency situations. Upon completion, students should be able to recognize and appropriately respond to a variety of EMS-related events.&lt;br /&gt;&lt;br /&gt;</t>
  </si>
  <si>
    <t>ENG-025</t>
  </si>
  <si>
    <t>College English Skills</t>
  </si>
  <si>
    <t>English (ENG)</t>
  </si>
  <si>
    <t>This course provides the skills necessary for success in college English courses. Topics include reading and writing processes and strategies, such as critical thinking, text analysis, idea development, and application of writing conventions. Upon completion, students should be able to analyze readings and produce unified, coherent, well-developed paragraphs and essays using appropriate document design and standard written English while developing positive academic habits, learning strategies, and a growth mindset.&lt;br /&gt;&lt;br /&gt;</t>
  </si>
  <si>
    <t>ENG-102</t>
  </si>
  <si>
    <t>Applied Communications II</t>
  </si>
  <si>
    <t>This course is designed to enhance writing and, speaking skills for the workplace. Emphasis is, placed on generating short writings such as job, application documents, memoranda, and reports and, developing interpersonal communication skills with, employees and the public. Upon completion, students should be able to prepare effective, short, and job-related written and oral, communications.&lt;br /&gt;&lt;br /&gt;</t>
  </si>
  <si>
    <t>ENG-111</t>
  </si>
  <si>
    <t>Writing and Inquiry</t>
  </si>
  <si>
    <t>This course is designed to develop the ability to produce clear writing in a variety of genres and formats using a recursive process. Emphasis includes inquiry, analysis, effective use of rhetorical strategies, thesis development, audience awareness, and revision. Upon completion, students should be able to produce unified, coherent, well-developed essays using standard written English.&lt;br /&gt;
&lt;br /&gt;
&lt;i&gt;Note:  In accordance with the Comprehensive Articulation Agreement, this course has been approved to satisfy the Universal General Education Transfer Component requirement for English Composition in A.A. and A.S. degree programs. This course has been approved to meet the communications requirement in A.A.S. degree programs.&lt;/i&gt;&lt;br /&gt;&lt;br /&gt;</t>
  </si>
  <si>
    <t>ENG-112</t>
  </si>
  <si>
    <t>Writing and Research in the Disciplines</t>
  </si>
  <si>
    <t>This course, the second in a series of two, introduces research techniques, documentation styles, and writing strategies. Emphasis is placed on analyzing information and ideas and incorporating research findings into documented writing and research projects. Upon completion, students should be able to evaluate and synthesize information from primary and secondary sources using documentation appropriate to various disciplines.&lt;br /&gt;
&lt;br /&gt;
&lt;i&gt;Note:  In accordance with the Comprehensive Articulation Agreement, this course has been approved to satisfy the Universal General Education Transfer Component requirement for English Composition in A.A. and A.S. degree programs. This course has been approved to meet the communications requirement in A.A.S. degree programs.&lt;/i&gt;&lt;br /&gt;&lt;br /&gt;</t>
  </si>
  <si>
    <t>ENG-114</t>
  </si>
  <si>
    <t>Professional Research &amp; Reporting</t>
  </si>
  <si>
    <t>This course, the second in a series of two, is designed to teach professional communication skills. Emphasis is placed on research, listening, critical reading and thinking, analysis, interpretation, and design used in oral and written presentations. Upon completion, students should be able to work individually and collaboratively to produce well-designed business and professional written and oral presentations.&lt;br /&gt;
&lt;br /&gt;
&lt;i&gt;Note:  This course has been approved for transfer under the CAA as a general education course in English Composition. This course has been approved for transfer under the ICAA as a general education course in English Composition.&lt;/i&gt;&lt;br /&gt;&lt;br /&gt;</t>
  </si>
  <si>
    <t>ENG-125</t>
  </si>
  <si>
    <t>Creative Writing I</t>
  </si>
  <si>
    <t>This course is designed to provide students with the opportunity to practice the art of creative writing. Emphasis is placed on writing, fiction, poetry, and sketches. Upon completion, students should be able to craft and critique their own writing and critique the writing of others.&lt;br /&gt;
&lt;br /&gt;
&lt;i&gt;Note:  In accordance with the Comprehensive Articulation Agreement, this course has been approved to satisfy the pre-major/elective requirement in A.A. and A.S. degree programs. This course has been approved to meet the humanities/fine arts requirement in A.A.S. degree programs.&lt;/i&gt;&lt;br /&gt;&lt;br /&gt;</t>
  </si>
  <si>
    <t>ENG-231</t>
  </si>
  <si>
    <t>American Literature I</t>
  </si>
  <si>
    <t>This course covers selected works in American Literature from its beginnings to 1865. Emphasis is placed on historical background, cultural context, and literary analysis of selected prose, poetry, and drama. Upon completion, students should be able to analyze and interpret literary works in their historical and cultural contexts.&lt;br /&gt;
&lt;br /&gt;
&lt;i&gt;Note:  In accordance with the Comprehensive Articulation Agreement, this course has been approved to satisfy the Universal General Education Transfer Component requirement for humanities/fine arts in A.A. and A.S. degree programs. This course has been approved to meet the humanities/fine arts requirement in A.A.S. degree programs. &lt;/u&gt;&lt;br /&gt;&lt;br /&gt;</t>
  </si>
  <si>
    <t>ENG-232</t>
  </si>
  <si>
    <t>American Literature II</t>
  </si>
  <si>
    <t>This course covers selected works in American literature from 1865 to the present. Emphasis is placed on historical background, cultural context, and literary analysis of selected prose, poetry, and drama. Upon completion, students should be able to analyze and interpret literary works in their historical and cultural contexts.&lt;br /&gt;
&lt;br /&gt;
&lt;i&gt;Note:  In accordance with the Comprehensive Articulation Agreement, this course has been approved to satisfy the Universal General Education Transfer Component requirement for humanities/fine arts in A.A. and A.S. degree programs. This course has been approved to meet the humanities/fine arts requirement in A.A.S. degree programs. &lt;/u&gt;&lt;br /&gt;&lt;br /&gt;</t>
  </si>
  <si>
    <t>ENG-233</t>
  </si>
  <si>
    <t>Major American Writers</t>
  </si>
  <si>
    <t>This course provides an intensive study of the works of several major American authors. Emphasis is placed on American history, culture, and the literary merits. Upon completion, students should be able to interpret, analyze, and evaluate the works studied.&lt;br /&gt;
&lt;br /&gt;
&lt;i&gt;Note:  This course has been approved for transfer under the CAA as a general education course in Humanities/Fine Arts. This course has been approved for transfer under the ICAA as a general education course in Humanities/Fine Arts.&lt;/i&gt;&lt;br /&gt;&lt;br /&gt;</t>
  </si>
  <si>
    <t>ENG-241</t>
  </si>
  <si>
    <t>British Literature I</t>
  </si>
  <si>
    <t>This course covers selected works in British literature from its beginnings to the Romantic Period. Emphasis is placed on historical background, cultural context, and literary analysis of selected prose, poetry, and drama. Upon completion, students should be able to interpret, analyze, and respond to literary works in their historical and cultural contexts.&lt;br /&gt;
&lt;br /&gt;
&lt;i&gt;Note: In accordance with the Comprehensive Articulation Agreement, this course has been approved to satisfy the Universal General Education Transfer Component requirement for humanities/fine arts in A.A. and A.S. degree programs. This course has been approved to meet the humanities/fine arts requirement in A.A.S. degree programs. &lt;/u&gt;&lt;br /&gt;&lt;br /&gt;</t>
  </si>
  <si>
    <t>ENG-242</t>
  </si>
  <si>
    <t>British Literature II</t>
  </si>
  <si>
    <t>This course covers selected works in British literature from the Romantic Period to the present. Emphasis is placed on historical background, cultural context, and literary analysis of selected prose, poetry, and drama. Upon completion, students should be able to interpret, analyze, and respond to literary works in their historical and cultural contexts.&lt;br /&gt;
&lt;br /&gt;
&lt;i&gt;Note:  In accordance with the Comprehensive Articulation Agreement, this course has been approved to satisfy the Universal General Education Transfer Component requirement for humanities/fine arts in A.A. and A.S. degree programs. This course has been approved to meet the humanities/fine arts requirement in A.A.S. degree programs. &lt;/u&gt;&lt;br /&gt;&lt;br /&gt;</t>
  </si>
  <si>
    <t>ENG-273</t>
  </si>
  <si>
    <t>African-American Literature</t>
  </si>
  <si>
    <t>This course provides a survey of the development of African-American literature from its beginnings to the present. Emphasis is placed on historical and cultural context, themes, literary traditions, and backgrounds of the authors. Upon completion, students should be able to interpret, analyze, and respond to selected texts.&lt;br /&gt;
&lt;br /&gt;
&lt;i&gt;Note:  In accordance with the Comprehensive Articulation Agreement, this course has been approved to satisfy the pre-major/elective requirement in A.A. and A.S. degree programs. This course has been approved to meet the humanities/fine arts requirement in A.A.S. degree programs.&lt;/i&gt;&lt;br /&gt;&lt;br /&gt;</t>
  </si>
  <si>
    <t>EUS-110</t>
  </si>
  <si>
    <t>Introduction to Electric Utility Industry</t>
  </si>
  <si>
    <t>Electric Utility Substation (EUS)</t>
  </si>
  <si>
    <t>This course provides the student with an overview of the electric (power) utility industry. Topics include electric utility regulation and its scope, regulatory agencies and codes, general safety, electric system overview, electric generation, electric transmission, and electric distribution. Upon completion, students should be able to understand the need for electric utilities, their structure, and regulatory requirements on electric utilities. &lt;br /&gt;&lt;br /&gt;</t>
  </si>
  <si>
    <t>EUS-130</t>
  </si>
  <si>
    <t>Electric Utility Print Reading</t>
  </si>
  <si>
    <t>This course introduces the basic principles of reading electrical drawings used in the utility industry. Topics include functional diagrams, AC and DC control schematics, wiring diagrams, control wiring diagrams, and logic diagrams. Upon completion, the student should be able to explain the purpose and function of the various circuits and components in each type of electrical drawing. &lt;br /&gt;&lt;br /&gt;</t>
  </si>
  <si>
    <t>EUS-210</t>
  </si>
  <si>
    <t>Large High Voltage Power Transformers I</t>
  </si>
  <si>
    <t>This course introduces the fundamentals of large power transformers used in the electrical utility industry with emphasis on function and criticality. Topics include understanding the various designs, load calculations, dissolved gas analysis, assembly, commissioning tests, available accessories, bushings, maintenance, and trouble shooting. Upon completion, students should be able to identify the various winding configurations and connections, interpret nameplate information, and perform various tests on transformers. &lt;br /&gt;&lt;br /&gt;</t>
  </si>
  <si>
    <t>EUS-215</t>
  </si>
  <si>
    <t>Large High Voltage Power Transformers II</t>
  </si>
  <si>
    <t>This course covers complex electrical testing of power transformers. Topics include understanding of power factor testing, winding resistance testing and trouble shooting. Upon completion, students should be able to perform various tests on transformers.&lt;br /&gt;&lt;br /&gt;</t>
  </si>
  <si>
    <t>EUS-220</t>
  </si>
  <si>
    <t>High Voltage Power Circuit Breakers</t>
  </si>
  <si>
    <t>This course introduces the fundamentals of high voltage power circuit breakers used in the electrical utility industry with emphasis on function and criticality. Topics include understanding the various designs and interrupting mediums, how circuit breakers interrupt fault currents, Sulfur Hexafluoride gas (SF6), breaker timing, and maintenance. Upon completion, students should be able to identify various types of circuit breakers, interpret nameplate information, and perform various tests on these devices. &lt;br /&gt;&lt;br /&gt;</t>
  </si>
  <si>
    <t>EUS-225</t>
  </si>
  <si>
    <t>Electric Utility Safety and Human Performance</t>
  </si>
  <si>
    <t>This course introduces students to the basic safe work practices and power system safety equipment which are used in utility substation and generating plants. Topics include personal safety for working on or around high voltage AC power systems up to 500 kV, procedures for clearing high voltage substation equipment, personal protective grounding and procedures for performing work in energized electric utility substations. Upon completion, students should be able to demonstrate the skills and knowledge to work on high voltage equipment/environment.&lt;br /&gt;&lt;br /&gt;</t>
  </si>
  <si>
    <t>EUS-230</t>
  </si>
  <si>
    <t>Electric Utility Protective Relaying I</t>
  </si>
  <si>
    <t>This course introduces protective relaying used in the electrical utility industry with emphasis on function and criticality. Topics include substations zones protection, transmission lines, switchyards, relays, and power line carrier components. Upon completion, students should be able to understand the purpose for various relay schemes and protective relays. &lt;br /&gt;&lt;br /&gt;</t>
  </si>
  <si>
    <t>EUS-235</t>
  </si>
  <si>
    <t>Electric Utility Protective Relaying II</t>
  </si>
  <si>
    <t>This course provides advanced studies of protective relaying and includes single and three-phase metering principles, meter construction, and component parts. Topics include instrument transformer theory and applications, sizing instrument transformers, wiring transformers, meter installations, and electronic meter functionality. Upon completion, students should be able to describe and test overcurrent schemes, transformer differential schemes, and transmission line protection schemes. &lt;br /&gt;&lt;br /&gt;</t>
  </si>
  <si>
    <t>EUS-240</t>
  </si>
  <si>
    <t>Substation Ancillary Systems</t>
  </si>
  <si>
    <t>This course introduces many of the supporting systems used in substations and generating plant switchyards to support the operation of the electric power grid. Topics include instrument transformers, capacitor banks, reactor banks, batteries, circuit switchers, bushings, disconnect switches, and ground grids. Upon completion, the student should be able to understand the design and purpose of each of these devices and systems. &lt;br /&gt;&lt;br /&gt;</t>
  </si>
  <si>
    <t>EUS-255</t>
  </si>
  <si>
    <t>Electric Utility Troubleshooting</t>
  </si>
  <si>
    <t>This course introduces a wide variety of techniques to troubleshoot electric utility substation and generating plant power system equipment. Topics include testing and troubleshooting high and medium voltage power circuit breakers, three phase high voltage power transformers, voltage regulators and circuit switchers. Upon completion, students should be able to use specialized test equipment used by utility substation and generating plants.&lt;br /&gt;&lt;br /&gt;</t>
  </si>
  <si>
    <t>EUS-260</t>
  </si>
  <si>
    <t>Capstone and Case Studies in EUSRT</t>
  </si>
  <si>
    <t>This course provides an opportunity for students to utilize all facets of their educational experience to solve problems common to the electric utility industry. Topics include electric utility and industry case studies, project safety, planning and organization, communication, and project documentation. Upon completion, students should be able to demonstrate the ability to complete a capstone project, concluding with a formal report.&lt;br /&gt;&lt;br /&gt;</t>
  </si>
  <si>
    <t>GEL-111</t>
  </si>
  <si>
    <t>Geology</t>
  </si>
  <si>
    <t>Geology (GEL)</t>
  </si>
  <si>
    <t>This course introduces basic landforms and geological processes. Topics include rocks, minerals, volcanoes, fluvial processes, geological history, plate tectonics, glaciers, and coastal dynamics. Upon completion, students should be able to describe basic geological processes that shape the earth.&lt;br /&gt;&lt;br /&gt;
Competencies&lt;br /&gt;&lt;br /&gt;
1. Explain fundamental geologic concepts including earth structure, plate tectonics, rocks and minerals, rock cycle, crustal deformation, surficial processes, earth resources and geohazards.&lt;br /&gt;&lt;br /&gt;
2. Apply the basic methods of scientific inquiry in the context of geology.&lt;br /&gt;&lt;br /&gt;
3. Recognize and quantify the operation of Earth system processes over geologic and human timescales and over local, regional and global spatial scales.&lt;br /&gt;&lt;br /&gt;
4. Manipulate, interpret and construct visualizations of geologic data using maps, graphs, and contemporary technology.&lt;br /&gt;&lt;br /&gt;
5. Demonstrate an appreciation for the societal relevance of geology and the impact of humans on the earth system.&lt;br /&gt;&lt;br /&gt;
&lt;i&gt;This course has been approved for transfer under the CAA as a general education course in Natural Science. This course has been approved for transfer under the ICAA as a general education course in Natural Science.&lt;/i&gt;&lt;br /&gt;&lt;br /&gt;</t>
  </si>
  <si>
    <t>GIS-110</t>
  </si>
  <si>
    <t>Survey of GIS/GPS</t>
  </si>
  <si>
    <t>Geographic Information Systems (GIS)</t>
  </si>
  <si>
    <t>This course introduces the methods and techniques used in the Geographic Information System (GIS) and Global Positioning Systems (GPS) profession. Emphasis is placed on problem solution sequences and advisement, counseling, and technical methodology, including technical computer usage and technical graphics. Upon completion, students should be able to identify major fields using GIS/GPS technologies and apply their methodologies toward problem resolution.&lt;br /&gt;&lt;br /&gt;</t>
  </si>
  <si>
    <t>GIS-111</t>
  </si>
  <si>
    <t>Introduction to Geographic Information Systems</t>
  </si>
  <si>
    <t>This course introduces the hardware and software components of a Geographic Information System and reviews GIS applications. Topics include data structures and basic functions, methods of data capture and sources of data, and the nature and characteristics of spatial data and objects. Upon completion, students should be able to identify GIS hardware components, typical operations, products/applications, and differences between database models and between raster and vector systems. &lt;br /&gt;
&lt;br /&gt;
&lt;i&gt;Note:  This course has been approved for transfer under the CAA as a premajor and/or elective course requirement. This course has been approved for transfer under the ICAA as a premajor and/or elective course requirement.&lt;/i&gt;&lt;br /&gt;&lt;br /&gt;</t>
  </si>
  <si>
    <t>GRO-120</t>
  </si>
  <si>
    <t>Introduction to Gerontology</t>
  </si>
  <si>
    <t>Gerontology (GRO)</t>
  </si>
  <si>
    <t>This course introduces the psychological, social, and biological aspects of aging. Emphasis is placed common mental, social, and physical changes that occur during the aging process. Upon completion, students should be able to recognize the aging process and its psychological, social, and biological aspects.&lt;br /&gt;&lt;br /&gt;</t>
  </si>
  <si>
    <t>HBI-110</t>
  </si>
  <si>
    <t>Issues and Trends in Healthcare Business Informatics</t>
  </si>
  <si>
    <t>Healthcare Business Informatics (HBI)</t>
  </si>
  <si>
    <t>This course is a survey of current and emerging technology applications and data standards in the healthcare industry. Topics include the history, implementation, use, management, and impact of information technology in healthcare settings. Upon completion, students should have an understanding of the current trends and issues in healthcare informatics. &lt;br /&gt;&lt;br /&gt;</t>
  </si>
  <si>
    <t>HEA-120</t>
  </si>
  <si>
    <t>Community Health</t>
  </si>
  <si>
    <t>Health (HEA)</t>
  </si>
  <si>
    <t>This course provides information about contemporary community health and school hygiene issues. Topics include health education and current information about health trends. Upon completion students should be able to recognize and devise strategies to prevent today's community health problems.&lt;br /&gt;
&lt;br /&gt;
&lt;i&gt;Note:  In accordance with the Comprehensive Articulation Agreement, this course has been approved to satisfy the pre-major/elective requirement in A.A. and A.S. degree programs.&lt;/i&gt;&lt;br /&gt;&lt;br /&gt;</t>
  </si>
  <si>
    <t>HIS-111</t>
  </si>
  <si>
    <t>World Civilizations I</t>
  </si>
  <si>
    <t>History (HIS)</t>
  </si>
  <si>
    <t>This course introduces world history from the dawn of civilization to the early modern era. Topics include Eurasian, African, American, and Greco-Roman civilizations and Christian, Islamic and Byzantine cultures. Upon completion, students should be able to analyze significant political, socioeconomic, and cultural developments in pre-modern world civilizations.&lt;br /&gt;
&lt;br /&gt;
&lt;i&gt;Note:  In accordance with the Comprehensive Articulation Agreement, this course has been approved to satisfy the Universal General Education Transfer Component requirement for social/behavioral sciences in A.A. and A.S. degree programs. This course has been approved to meet the social/behavioral sciences requirement in A.A.S. degree programs.&lt;/i&gt;&lt;br /&gt;&lt;br /&gt;</t>
  </si>
  <si>
    <t>HIS-112</t>
  </si>
  <si>
    <t>World Civilizations II</t>
  </si>
  <si>
    <t>This course introduces world history from the early modern era to the present. Topics include the cultures of Africa, Europe, India, China, Japan, and the Americas. Upon completion, students should be able to analyze significant political, socioeconomic, and cultural developments in modern world civilizations.&lt;br /&gt;
&lt;br /&gt;
&lt;i&gt;Note:  In accordance with the Comprehensive Articulation Agreement, this course has been approved to satisfy the Universal General Education Transfer Component requirement for social/behavioral science in A.A. and A.S. degree programs. This course has been approved to meet the social/behavioral sciences requirement in A.A.S. degree programs.&lt;/i&gt;&lt;br /&gt;&lt;br /&gt;</t>
  </si>
  <si>
    <t>HIS-121</t>
  </si>
  <si>
    <t>Western Civilization I</t>
  </si>
  <si>
    <t>This course introduces western civilization from pre-history to the early modern era. Topics include ancient Greece, Rome, and Christian institutions of the Middle Ages and emergence of national monarchies in western Europe. Upon completion, students should be able to analyze significant political, socioeconomic, and cultural developments in early western civilization.&lt;br /&gt;
&lt;br /&gt;
&lt;i&gt;Note:  In accordance with the Comprehensive Articulation Agreement, this course has been approved to satisfy the general education requirement for social/behavioral science in A.A., A.S., and A.A.S. degree programs.&lt;/i&gt;&lt;br /&gt;&lt;br /&gt;</t>
  </si>
  <si>
    <t>HIS-131</t>
  </si>
  <si>
    <t>American History I</t>
  </si>
  <si>
    <t>This course is a survey of American history from pre-history through the Civil War era. Topics include the migrations to the Americas, the colonial and revolutionary periods, the development of the Republic, and the Civil War. Upon completion, students should be able to analyze significant political, socioeconomic, and cultural developments in early American history.&lt;br /&gt;
&lt;br /&gt;
&lt;i&gt;Note:  In accordance with the Comprehensive Articulation Agreement, this course has been approved to satisfy the Universal General Education Transfer Component requirement for social/behavioral sciences in A.A. and A.S. degree programs. This course has been approved to meet the social/behavioral sciences requirement in A.A.S. degree programs.&lt;/i&gt;&lt;br /&gt;&lt;br /&gt;</t>
  </si>
  <si>
    <t>HIS-132</t>
  </si>
  <si>
    <t>American History II</t>
  </si>
  <si>
    <t>This course is a survey of American history from the Civil War era to the present. Topics include industrialization, immigration, the Great Depression, the major American wars, the Cold War, and social conflict. Upon completion, students should be able to analyze significant political, socioeconomic, and cultural developments in American history since the Civil War.&lt;br /&gt;
&lt;br /&gt;
&lt;i&gt;Note:  In accordance with the Comprehensive Articulation Agreement, this course has been approved to satisfy the Universal General Education Transfer Component requirement for social/behavioral sciences in A.A. and A.S. degree programs. This course has been approved to meet the social/behavioral sciences requirement in A.A.S. degree programs.&lt;/i&gt;&lt;br /&gt;&lt;br /&gt;</t>
  </si>
  <si>
    <t>HMT-110</t>
  </si>
  <si>
    <t>Introduction to Healthcare Management</t>
  </si>
  <si>
    <t>Healthcare Management (HMT)</t>
  </si>
  <si>
    <t>This course introduces the functions, practices, organizational structures, and professional issues in healthcare management. Emphasis is placed on planning, controlling, directing, and communicating within health and human services organizations. Upon completion, students should be able to apply the concepts of management within a healthcare service environment. &lt;br /&gt;&lt;br /&gt;</t>
  </si>
  <si>
    <t>HMT-210</t>
  </si>
  <si>
    <t>Medical Insurance</t>
  </si>
  <si>
    <t>This course introduces the concepts of medical insurance. Topics include types and characteristics of third-party payers, coding concepts, payment systems, and manual/electronic claims form preparation. Upon completion, students should be able to process third-party claims forms. &lt;br /&gt;&lt;br /&gt;</t>
  </si>
  <si>
    <t>HMT-211</t>
  </si>
  <si>
    <t>Long-Term Care Administration</t>
  </si>
  <si>
    <t>This course introduces the administration of long-term care facilities and services. Emphasis is placed on nursing home care, home health care, hospice, skilled nursing facilities, and other long-term care services. Upon completion, students should be able to distinguish between the different long-term care offerings, criteria for use, and benefits of the patient, resident, and participant.&lt;br /&gt;&lt;br /&gt;</t>
  </si>
  <si>
    <t>HMT-212</t>
  </si>
  <si>
    <t>Management of Healthcare Organizations</t>
  </si>
  <si>
    <t>This course examines current issues affecting the management of healthcare delivery systems. Topics include current problems, changes, and challenges in the healthcare environment. Upon completion, students should be able to identify current health care issues and their impact on healthcare management. &lt;br /&gt;&lt;br /&gt;</t>
  </si>
  <si>
    <t>HMT-215</t>
  </si>
  <si>
    <t>Legal Aspect of Healthcare Administration</t>
  </si>
  <si>
    <t>This course provides a practical examination of healthcare law from the administrative perspective. Emphasis is placed on healthcare law with a working knowledge of ways to improve quality and the legal delivery of healthcare. Upon completion, students should be able to understand and apply healthcare laws as they relate to the financing, delivery, privacy, and malpractice of healthcare organizations.&lt;br /&gt;&lt;br /&gt;</t>
  </si>
  <si>
    <t>HMT-220</t>
  </si>
  <si>
    <t>Healthcare Financial Management</t>
  </si>
  <si>
    <t>This course covers the methods and techniques utilized in the financial management of healthcare programs. Topics include cost determination, pricing of services, financial statement analysis, forecasting/projections, third-party billing, reimbursement, Medicare, Medicaid, and budgeting. Upon completion, students should be able to interpret and apply the principles of financial management in a healthcare environment. &lt;br /&gt;&lt;br /&gt;</t>
  </si>
  <si>
    <t>HMT-225</t>
  </si>
  <si>
    <t>Practice Management Simulation</t>
  </si>
  <si>
    <t>This course introduces medical systems used to process and analyze information in the automated office. Emphasis is placed on daily processing of patient services, management reporting used to monitor productivity, and interactive database reporting and analysis. Upon completion, students should be able to process daily services, generate and interpret management reports and utilize key indicators for monitoring practice productivity. &lt;br /&gt;&lt;br /&gt;</t>
  </si>
  <si>
    <t>HSC-110</t>
  </si>
  <si>
    <t>Orientation to Health Careers</t>
  </si>
  <si>
    <t>Health Sciences (HSC)</t>
  </si>
  <si>
    <t>This course is a survey of health care professions. Topics include professional duties and responsibilities, working environments, and career choices. Upon completion, students should be able to demonstrate an understanding of the health care professions and be prepared to make informed career choices. Pre-Nursing requirements and expectations will be covered in full detail.&lt;br /&gt;&lt;br /&gt;</t>
  </si>
  <si>
    <t>HSC-140</t>
  </si>
  <si>
    <t>Transcultural Healthcare</t>
  </si>
  <si>
    <t>This course is designed to introduce students to healthcare issues related to care of diverse populations. Topics include historical and theoretical foundations of transcultural healthcare, delivering services across the lifespan and caring for diverse persons in various healthcare settings. Upon completion, students should be able to provide culturally competent healthcare to individuals, families, groups, communities and institutions.&lt;br /&gt;&lt;br /&gt;</t>
  </si>
  <si>
    <t>HSE-110</t>
  </si>
  <si>
    <t>Introduction to Human Services</t>
  </si>
  <si>
    <t>Human Services (HSE)</t>
  </si>
  <si>
    <t>This course introduces the human services field, including the history, agencies, roles, and careers. Topics include personal/professional characteristics, diverse populations, community resources, disciplines in the field, systems, ethical standards, and major theoretical and treatment approaches. Upon completion, students should be able to identify the knowledge, skills, and roles of the human services worker.&lt;br /&gt;&lt;br /&gt;</t>
  </si>
  <si>
    <t>HSE-112</t>
  </si>
  <si>
    <t>Group Process I</t>
  </si>
  <si>
    <t>This course introduces interpersonal concepts and group dynamics. Emphasis is placed on self- awareness facilitated by experiential learning in small groups with analysis of personal experiences and the behavior of others. Upon completion, students should be able to show competence in identifying and explaining how people are influenced by their interactions in group settings.&lt;br /&gt;&lt;br /&gt;</t>
  </si>
  <si>
    <t>HSE-123</t>
  </si>
  <si>
    <t>Interviewing Techniques for Human Services</t>
  </si>
  <si>
    <t>This course covers the purpose, structure, focus, and techniques utilized in effective interviewing. Emphasis is placed on observing, attending, listening, responding, summarizing and documenting with instructor supervision. Upon completion, students should be able to perform the basic interviewing skills needed to facilitate the helping relationship.&lt;br /&gt;&lt;br /&gt;</t>
  </si>
  <si>
    <t>HSE-125</t>
  </si>
  <si>
    <t>Counseling</t>
  </si>
  <si>
    <t>This course covers the major approaches to psychotherapy and counseling, including theory, characteristics, and techniques. Emphasis is placed on facilitation of self-exploration, problem solving, decision making, and personal growth. Upon completion, students should be able to understand various theories of counseling and demonstrate counseling techniques. &lt;br /&gt;&lt;br /&gt;</t>
  </si>
  <si>
    <t>HSE-127</t>
  </si>
  <si>
    <t>Conflict Resolution</t>
  </si>
  <si>
    <t>This course introduces conflict resolution and mediation theory and practice. Emphasis is placed on achieving compromise and a win/win perception. Upon completion, students should be able to demonstrate competence in identifying seemingly dissimilar positions and facilitating agreement. &lt;br /&gt;&lt;br /&gt;</t>
  </si>
  <si>
    <t>HSE-155</t>
  </si>
  <si>
    <t>Community Resources Management</t>
  </si>
  <si>
    <t>This course covers the working relationships between human services agencies and the community. Emphasis is placed on identification and observation of community resources which contribute to the achievement of the human services mission. Upon completion, students should be able to identify community resources, organize public support, and determine appropriate sources of funding.&lt;br /&gt;&lt;br /&gt;</t>
  </si>
  <si>
    <t>HSE-210</t>
  </si>
  <si>
    <t>Diversity, Ethics and Trends</t>
  </si>
  <si>
    <t>This course is designed to provide students with an in-depth understanding of the role of diversity and ethical considerations within the human services profession. Emphasis is placed on the knowledge and skills in the evolving landscape of human services. Upon completion, students should be able to apply ethical decision-making, demonstrate an understanding of diverse perspectives, and identify current trends in the human services field.&lt;br /&gt;&lt;br /&gt;</t>
  </si>
  <si>
    <t>HSE-212</t>
  </si>
  <si>
    <t>Group Dynamics</t>
  </si>
  <si>
    <t>This course introduces the concepts of group processes and group dynamics. Emphasis is placed on essential tools for understanding, participating in, and contributing to group processes. Upon completion, students should be able to identify and explain how people are influenced by their interactions in group settings and facilitate various groups.&lt;br /&gt;&lt;br /&gt;</t>
  </si>
  <si>
    <t>HSE-220</t>
  </si>
  <si>
    <t>Case Management</t>
  </si>
  <si>
    <t>This course covers the variety of tasks associated with professional case management. Topics include needs assessment, service planning, referral procedures, documentation, and follow-up and integration of services. Upon completion, students should be able to effectively manage the care of the whole person from initial contact through termination of services.&lt;br /&gt;&lt;br /&gt;</t>
  </si>
  <si>
    <t>HSE-223</t>
  </si>
  <si>
    <t>Counseling Theories and Skills</t>
  </si>
  <si>
    <t>This course provides an in-depth exploration of foundational theories and practical techniques essential for those working in diverse human services settings. Emphasis is placed on self-awareness, problem-solving, decision-making, and personal growth. Upon completion, students should be able to apply these theories to real-life scenarios, and develop professional skills crucial for fostering supportive relationships in various settings.&lt;br /&gt;&lt;br /&gt;</t>
  </si>
  <si>
    <t>HSE-225</t>
  </si>
  <si>
    <t>Crisis and Intervention Principles</t>
  </si>
  <si>
    <t>This course introduces the types of crises and the principles of intervention. Emphasis is placed on identifying culturally competent techniques for intervening in various crisis situations. Upon completion, students should be able to assess crisis situations and respond effectively.&lt;br /&gt;&lt;br /&gt;</t>
  </si>
  <si>
    <t>HSE-227</t>
  </si>
  <si>
    <t>Children &amp; Adolescents in Crisis</t>
  </si>
  <si>
    <t>This course covers the crises affecting children and adolescents in contemporary society. Emphasis is placed on abuse and neglect, mental health challenges, suicide problematic family dynamics, poverty, and violence. Upon completion, students should be able to identify and discuss intervention strategies and available services for the major crises affecting children and adolescents.&lt;br /&gt;&lt;br /&gt;</t>
  </si>
  <si>
    <t>HSE-242</t>
  </si>
  <si>
    <t>Family Systems</t>
  </si>
  <si>
    <t>This course introduces the concepts of family structure as a system and includes the impact of contemporary society on the family. Topics include systems theory, family structure, blended families, divorce, LGBTQIA+ families, adoption, and the elderly. Upon completion, students should be able to demonstrate and understanding of families as a system and the impact of change on family structure.&lt;br /&gt;&lt;br /&gt;</t>
  </si>
  <si>
    <t>HSE-250</t>
  </si>
  <si>
    <t>Financial Services</t>
  </si>
  <si>
    <t>This course introduces students to agencies that provide financial assistance. Emphasis is placed on qualifying applicants for a variety of financial assistance programs offered by human services agencies. Upon completion, students should be able to make a factual and objective assessment of a client's economic situation to qualify them for financial assistance.&lt;br /&gt;&lt;br /&gt;</t>
  </si>
  <si>
    <t>HSE-251</t>
  </si>
  <si>
    <t>Activities Planning</t>
  </si>
  <si>
    <t>This course introduces skills and techniques used in recreation and leisure activities to enhance the lives of special populations. Emphasis is placed on music, art, and recreational activities. Upon completion, students should be able to define, plan, and adapt recreational activities for selected groups and individuals.&lt;br /&gt;&lt;br /&gt;</t>
  </si>
  <si>
    <t>HSE-255</t>
  </si>
  <si>
    <t>Health Problems &amp; Prevention</t>
  </si>
  <si>
    <t>This course surveys a range of public health problems and issues, including the development of prevention strategies. Topics include maternal health, HIV/AIDS, infectious diseases, professional burnout, substance use/misuse, sexually transmitted diseases, and social determinants of health. Upon completion, students should be able to identify health issues and demonstrate prevention strategies.&lt;br /&gt;&lt;br /&gt;</t>
  </si>
  <si>
    <t>HUM-110</t>
  </si>
  <si>
    <t>Technology and Society</t>
  </si>
  <si>
    <t>Humanities (HUM)</t>
  </si>
  <si>
    <t>This course considers technological change from historical, artistic, and philosophical perspectives and its effect on human needs and concerns. Emphasis is placed on the causes and consequences of technological change. Upon completion, students should be able to critically evaluate the implications of technology.&lt;br /&gt;
&lt;br /&gt;
&lt;i&gt;Note:  This course has been approved for transfer under the CAA as a general education course in Humanities/Fine Arts. This course has been approved for transfer under the ICAA as a general education course in Humanities/Fine Arts.&lt;/i&gt;&lt;br /&gt;&lt;br /&gt;</t>
  </si>
  <si>
    <t>HUM-115</t>
  </si>
  <si>
    <t>Critical Thinking</t>
  </si>
  <si>
    <t>This course introduces the use of critical thinking skills in the context of human conflict. Emphasis is placed on evaluating information, problem solving, approaching cross-cultural perspectives, and resolving controversies and dilemmas. Upon completion, students should be able to demonstrate orally and in writing the use of critical thinking skills in the analysis of appropriate texts.&lt;br /&gt;
&lt;br /&gt;
&lt;i&gt;Note:  This course has been approved for transfer under the CAA as a general education course in Humanities/Fine Arts. This course has been approved for transfer under the ICAA as a general education course in Humanities/Fine Arts.&lt;/i&gt;&lt;br /&gt;&lt;br /&gt;</t>
  </si>
  <si>
    <t>HUM-120</t>
  </si>
  <si>
    <t>Cultural Studies</t>
  </si>
  <si>
    <t>This course introduces the distinctive features of a particular culture. Topics include art, history, music, literature, politics, philosophy, and religion. Upon completion, students should be able to appreciate the unique character of the study culture.&lt;br /&gt;
&lt;br /&gt;
&lt;i&gt;Note:  In accordance with the Comprehensive Articulation Agreement, this course has been approved to satisfy the general education requirement for humanities/fine arts in A.A., A.S., and A.A.S. degree programs.&lt;/i&gt;&lt;br /&gt;&lt;br /&gt;</t>
  </si>
  <si>
    <t>HYD-110</t>
  </si>
  <si>
    <t>Hydraulics/Pneumatics I</t>
  </si>
  <si>
    <t>Hydraulics (HYD)</t>
  </si>
  <si>
    <t>This course introduces the basic components and functions of hydraulic and pneumatic systems. Topics include standard symbols, pumps, control valves, control assemblies, actuators, FRL, maintenance procedures, and switching and control devices. Upon completion, students should be able to understand the operation of a fluid power system, including design, application, and troubleshooting. &lt;br /&gt;&lt;br /&gt;</t>
  </si>
  <si>
    <t>INT-110</t>
  </si>
  <si>
    <t>International Business</t>
  </si>
  <si>
    <t>International Business (INT)</t>
  </si>
  <si>
    <t>This course provides an overview of the environment, concepts, and basic differences involved in international business. Topics include forms of foreign involvement, international trade theory, governmental influences on trade and strategies, international organizations, multinational corporations, personnel management, and international marketing. Upon completion, students should be able to describe the foundation of international business.&lt;br /&gt;&lt;br /&gt;</t>
  </si>
  <si>
    <t>ISC-112</t>
  </si>
  <si>
    <t>Industrial Safety</t>
  </si>
  <si>
    <t>Industrial Science (ISC)</t>
  </si>
  <si>
    <t>This course introduces the principles of industrial safety. Emphasis is placed on industrial safety and OSHA regulations. Upon completion, students should be able to demonstrate knowledge of a safe working environment and OSHA compliance. &lt;br /&gt;&lt;br /&gt;</t>
  </si>
  <si>
    <t>ISC-132</t>
  </si>
  <si>
    <t>Manufacturing Quality Control</t>
  </si>
  <si>
    <t>This course introduces quality concepts and techniques used in industry. Topics include elementary statistics and probability, process control, process capability, and quality improvement tools. Upon completion, students should be able to demonstrate an understanding of the concepts and principles of quality and apply them to the work environment. &lt;br /&gt;&lt;br /&gt;</t>
  </si>
  <si>
    <t>MAT-025</t>
  </si>
  <si>
    <t>Concepts of Essential Math/Statistics</t>
  </si>
  <si>
    <t>Math (MAT)</t>
  </si>
  <si>
    <t>This course provides an opportunity to customize foundational math content and statistical concepts specific to real-world applications. Topics include decimals, percentages, ratios, proportions, solving basic equations, geometrical concepts, dimensional analysis, financial applications and elements of statistics and probability. Upon completion, students should be able to successfully demonstrate the use of mathematics, technology and statistical concepts to solve practical problems while developing positive academic habits, learning strategies and growth mindset.&lt;br /&gt;&lt;br /&gt;</t>
  </si>
  <si>
    <t>MAT-035</t>
  </si>
  <si>
    <t>Concepts of Algebra</t>
  </si>
  <si>
    <t>This course covers algebraic concepts with an emphasis on application and analysis. Topics include rational/radical expressions and equations, solving equations and inequalities, concepts of functions, factoring, and exponents. Upon completion, students should be able to successfully demonstrate mastery of algebraic concepts through  application and analysis while developing positive academic habits, learning strategies and growth mindset.&lt;br /&gt;&lt;br /&gt;</t>
  </si>
  <si>
    <t>MAT-110</t>
  </si>
  <si>
    <t>Mathematical Measurement and Literacy</t>
  </si>
  <si>
    <t>This course provides an activity-based approach that develops measurement skills and mathematical literacy using technology to solve problems for non-math intensive programs. Topics include unit conversions and estimation within a variety of measurement systems; ratio and proportion; basic geometric concepts; financial literacy; and statistics including measures of central tendency, dispersion, and charting of data. Upon completion, students should be able to demonstrate the use of mathematics and technology to solve practical problems, and to analyze and communicate results.&lt;br /&gt;&lt;br /&gt;</t>
  </si>
  <si>
    <t>MAT-143</t>
  </si>
  <si>
    <t>Quantitative Literacy</t>
  </si>
  <si>
    <t>This course is designed to engage students in complex and realistic situations involving the mathematical phenomena of quantity, change and relationship, and uncertainty through project- and activity-based assessment. Emphasis is placed on authentic contexts which will introduce the concepts of numeracy, proportional reasoning, dimensional analysis, rates of growth, personal finance, consumer statistics, practical probabilities, and mathematics for citizenship. Upon completion, students should be able to utilize quantitative information as consumers and to make personal, professional, and civic decisions by decoding, interpreting, using, and communicating quantitative information found in modern media and encountered in everyday life.&lt;br /&gt;
&lt;br /&gt;
&lt;i&gt;Note:  In accordance with the Comprehensive Articulation Agreement, this course has been approved to satisfy the Universal General Education Transfer Component requirement for mathematics in the A.A. degree program. This course has been approved to meet the mathematics requirement in A.A.S. degree programs.&lt;/i&gt;&lt;br /&gt;&lt;br /&gt;</t>
  </si>
  <si>
    <t>MAT-152</t>
  </si>
  <si>
    <t>Statistical Methods I</t>
  </si>
  <si>
    <t>This course provides a project-based approach to introductory statistics with an emphasis on using real-world data and statistical literacy. Topics include descriptive statistics, correlation and regression, basic probability, discrete and continuous probability distributions, confidence intervals and hypothesis testing. Upon completion, students should be able to use appropriate technology to describe important characteristics of a data set, draw inferences about a population from sample data, and interpret and communicate results.&lt;br /&gt;
&lt;br /&gt;
&lt;i&gt;Note:  In accordance with the Comprehensive Articulation Agreement, this course has been approved to satisfy the Universal General Education Transfer Component requirement for mathematics in the A.A. degree program. This course has been approved to meet the mathematics requirement in A.A.S. degree programs.&lt;/i&gt;&lt;br /&gt;&lt;br /&gt;</t>
  </si>
  <si>
    <t>MAT-171</t>
  </si>
  <si>
    <t>Precalculus Algebra</t>
  </si>
  <si>
    <t>This course is designed to develop topics which are fundamental to the study of Calculus. Emphasis is placed on solving equations and inequalities, solving systems of equations and inequalities, and analysis of functions (absolute value, radical, polynomial, rational, exponential, and logarithmic) in multiple representations. Upon completion, students should be able to select and use appropriate models and techniques for finding solutions to algebra-related problems with and without technology.&lt;br /&gt;
&lt;br /&gt;
&lt;i&gt;Note:  In accordance with the Comprehensive Articulation Agreement, this course has been approved to satisfy the Universal General Education Transfer Component requirement for mathematics in A.A. and A.S. degree programs. This course has been approved to meet the mathematics requirement in A.A.S. degree programs.&lt;/i&gt;&lt;br /&gt;&lt;br /&gt;</t>
  </si>
  <si>
    <t>MAT-172</t>
  </si>
  <si>
    <t>Precalculus Trigonometry</t>
  </si>
  <si>
    <t>MAT-263</t>
  </si>
  <si>
    <t>Brief Calculus</t>
  </si>
  <si>
    <t>This course is designed to introduce concepts of differentiation and integration and their applications to solving problems. Topics include graphing, differentiation, and integration with emphasis on applications drawn from business, economics, and biological and behavioral sciences. Upon completion, students should be able to demonstrate an understanding of the use of basic calculus and technology to solve problems and to analyze and communicate results.&lt;br /&gt;
&lt;br /&gt;
&lt;i&gt;Note:  This course has been approved for transfer under the CAA as a general education course in Mathematics. This course has been approved for transfer under the ICAA as a general education course in Mathematics.&lt;/i&gt;&lt;br /&gt;&lt;br /&gt;</t>
  </si>
  <si>
    <t>MAT-271</t>
  </si>
  <si>
    <t>Calculus I</t>
  </si>
  <si>
    <t>This course is designed to develop the topics of differential and integral calculus. Emphasis is placed on limits, continuity, derivatives and integrals of algebraic and transcendental functions of one variable. Upon completion, students should be able to select and use appropriate models and techniques for finding solutions to derivative-related problems with and without technology.&lt;br /&gt;
&lt;br /&gt;
&lt;i&gt;Note:  In accordance with the Comprehensive Articulation Agreement, this course has been approved to satisfy the general education requirement for mathematics in the A.S. degree program. This course has been approved to meet the mathematics requirement in A.A.S. degree programs.&lt;/i&gt;&lt;br /&gt;&lt;br /&gt;</t>
  </si>
  <si>
    <t>MAT-272</t>
  </si>
  <si>
    <t>Calculus II</t>
  </si>
  <si>
    <t>This course provides a rigorous treatment of integration and is the second calculus course in a three-course sequence. Topics include applications of definite integrals, techniques of integration, indeterminate forms, improper integrals, infinite series, conic sections, parametric equations, polar coordinates, and differential equations. Upon completion, students should be able to use integration and approximation techniques to solve application problems.&lt;br /&gt;
&lt;br /&gt;
&lt;i&gt;Note:  In accordance with the Comprehensive Articulation Agreement, this course has been approved to satisfy the general education requirement for mathematics in A.A., A.S. and A.A.S. degree programs.&lt;/i&gt;&lt;br /&gt;&lt;br /&gt;</t>
  </si>
  <si>
    <t>MAT-273</t>
  </si>
  <si>
    <t>Calculus III</t>
  </si>
  <si>
    <t>This course is designed to develop the topics of multivariate calculus. Emphasis is placed on multivariate functions, partial derivatives, multiple integration, solid analytical geometry, vector valued functions, and line and surface integrals. Upon completion, students should be able to select and use appropriate models and techniques for finding the solution to multivariate-related problems with and without technology.&lt;br /&gt;
&lt;br /&gt;
&lt;i&gt;Note:  This course has been approved for transfer under the CAA as a general education course in Mathematics. This course has been approved for transfer under the ICAA as a general education course in Mathematics.&lt;/i&gt;&lt;br /&gt;&lt;br /&gt;</t>
  </si>
  <si>
    <t>MAT-285</t>
  </si>
  <si>
    <t>Differential Equations</t>
  </si>
  <si>
    <t>This course provides an introduction to topics involving ordinary differential equations. Emphasis is placed on the development of abstract concepts and applications for first-order and linear higher-order differential equations, systems of differential equations, numerical methods, series solutions, eigenvalues and eigenvectors, and LaPlace transforms. Upon completion, students should be able to demonstrate understanding of the theoretical concepts and select and use appropriate models and techniques for finding solutions to differential equations-related problems with and without technology.&lt;br /&gt;
&lt;br /&gt;
&lt;i&gt;Note:  This course has been approved for transfer under the CAA as a premajor and/or elective course requirement. This course has been approved for transfer under the ICAA as a premajor and/or elective course requirement.&lt;/i&gt;&lt;br /&gt;&lt;br /&gt;</t>
  </si>
  <si>
    <t>MEC-110</t>
  </si>
  <si>
    <t>Introduction to CAD/CAM</t>
  </si>
  <si>
    <t>Mechanical Engineering (MEC)</t>
  </si>
  <si>
    <t>This course introduces CAD/CAM. Emphasis is placed on transferring part geometry from CAD to CAM for the development of a CNC-ready program. Upon completion, students should be able to use CAD/CAM software to produce a CNC program. &lt;br /&gt;&lt;br /&gt;</t>
  </si>
  <si>
    <t>MEC-130</t>
  </si>
  <si>
    <t>Mechanisms</t>
  </si>
  <si>
    <t>This course introduces the purpose and action of various mechanical devices. Topics include cams, cables, gear trains, differentials, screws, belts, pulleys, shafts, levers, lubricants, and other devices. Upon completion, students should be able to analyze, maintain, and troubleshoot the components of mechanical systems. &lt;br /&gt;&lt;br /&gt;</t>
  </si>
  <si>
    <t>MED-110</t>
  </si>
  <si>
    <t>Orientation to Medical Assisting</t>
  </si>
  <si>
    <t>Medical Assisting (MED)</t>
  </si>
  <si>
    <t>This course covers the history of medicine and the role of the medical assistant in the health care setting. Emphasis is placed on professionalism, communication, attitude, behaviors, and duties in the medical environment. Upon completion, students should be able to project a positive attitude and promote the profession of medical assisting. &lt;br /&gt;&lt;br /&gt;</t>
  </si>
  <si>
    <t>MED-112</t>
  </si>
  <si>
    <t>Orientation to Clinic Setting I</t>
  </si>
  <si>
    <t>This course provides an early opportunity to observe and/or perform in the medical setting. Emphasis is placed on medical assisting procedures including appointment scheduling, filing, greeting patients, telephone techniques, billing, collections, medical records, and related medical procedures. Upon completion, students should be able to identify administrative and clinical procedures in the medical environment. &lt;br /&gt;&lt;br /&gt;</t>
  </si>
  <si>
    <t>MED-114</t>
  </si>
  <si>
    <t>Professional Interaction in Health Care</t>
  </si>
  <si>
    <t>This course is designed to identify various patient behaviors encountered in the medical setting. Emphasis is placed on stressors related to illness, cultural influences, death and dying, and needs specific to patients. Upon completion, students should be able to utilize appropriate methods of verbal and nonverbal communications with empathy and impartiality. &lt;br /&gt;&lt;br /&gt;</t>
  </si>
  <si>
    <t>MED-118</t>
  </si>
  <si>
    <t>Medical Law and Ethics</t>
  </si>
  <si>
    <t>This course covers legal relationships of physicians and patients, contractual agreements, professional liability, malpractice, medical practice acts, informed consent, and bioethical issues. Emphasis is placed on legal terms, professional attitudes, and the principles and basic concepts of ethics and laws involved in providing medical services. Upon completion, students should be able to meet the legal and ethical responsibilities of a multi-skilled health professional. &lt;br /&gt;&lt;br /&gt;</t>
  </si>
  <si>
    <t>MED-121</t>
  </si>
  <si>
    <t>Medical Terminology I</t>
  </si>
  <si>
    <t>This course introduces prefixes, suffixes, and word roots used in the language of medicine. Topics include medical vocabulary and the terms that relate to the anatomy, physiology, pathological conditions, and treatment of selected systems. Upon completion, students should be able to pronounce, spell, and define medical terms as related to selected body systems and their pathological disorders. &lt;br /&gt;&lt;br /&gt;</t>
  </si>
  <si>
    <t>MED-122</t>
  </si>
  <si>
    <t>Medical Terminology II</t>
  </si>
  <si>
    <t>This course is the second in a series of medical terminology courses. Topics include medical vocabulary and the terms that relate to the anatomy, physiology, pathological conditions, and treatment of selected systems. Upon completion, students should be able to pronounce, spell, and define medical terms as related to selected body systems and their pathological disorders. &lt;br /&gt;&lt;br /&gt;</t>
  </si>
  <si>
    <t>MED-130</t>
  </si>
  <si>
    <t>Administrative Office Procedures I</t>
  </si>
  <si>
    <t>This course introduces medical office administrative procedures. Topics include the appointment processing, written and oral communications, medical records, patient orientation, and safety. Upon completion, students should be able to perform basic administrative skills within the medical environment. &lt;br /&gt;&lt;br /&gt;</t>
  </si>
  <si>
    <t>MED-131</t>
  </si>
  <si>
    <t>Administrative Office Procedures II</t>
  </si>
  <si>
    <t>This course provides medical office procedures in both economic and management skills. Topics include physical plant maintenance, equipment and supplies, liability coverage, medical economics, and introductory insurance procedures. Upon completion, students should be able to manage the economics of the medical office and supervise personnel. &lt;br /&gt;&lt;br /&gt;</t>
  </si>
  <si>
    <t>MED-134</t>
  </si>
  <si>
    <t>Medical Transcription</t>
  </si>
  <si>
    <t>This course provides the basic knowledge, understanding, and skills required to complete medical reports and transcribe medical dictation. Emphasis is placed on correct punctuation, capitalization, and spelling. Upon completion, students should be able to demonstrate competence in medical transcription.&lt;br /&gt;&lt;br /&gt;</t>
  </si>
  <si>
    <t>MED-140</t>
  </si>
  <si>
    <t>Examining Room Procedures I</t>
  </si>
  <si>
    <t>This course provides instruction in clinical examining room procedures. Topics include asepsis, infection control, assisting with exams and treatment, patient education, preparation and administration of medications, EKG, vital signs, and medical emergencies. Upon completion, students should be able to demonstrate competence in exam room procedures. &lt;br /&gt;&lt;br /&gt;</t>
  </si>
  <si>
    <t>MED-150</t>
  </si>
  <si>
    <t>Laboratory Procedures I</t>
  </si>
  <si>
    <t>This course provides instruction in basic lab techniques used by the medical assistant. Topics include lab safety, quality control, collecting and processing specimens, performing selective tests, phlebotomy, screening and follow-up of test results, and OSHA/CLIA regulations. Upon completion, students should be able to perform basic lab tests/ skills based on course topics. &lt;br /&gt;&lt;br /&gt;</t>
  </si>
  <si>
    <t>MED-232</t>
  </si>
  <si>
    <t>Medical Insurance Coding</t>
  </si>
  <si>
    <t>This course is designed to develop coding skills. Emphasis is placed on advanced diagnostic and procedural coding in the outpatient facility. Upon completion, students should be able to demonstrate proficiency in coding for reimbursement. &lt;br /&gt;&lt;br /&gt;</t>
  </si>
  <si>
    <t>MED-260</t>
  </si>
  <si>
    <t>MED Clinical Practicum</t>
  </si>
  <si>
    <t>This course provides the opportunity to apply clinical, laboratory, and administrative skills in a medical facility. Emphasis is placed on enhancing competence in clinical and administrative skills necessary for comprehensive patient care and strengthening professional communications and interactions. Upon completion, students should be able to function as an entry-level health care professional. &lt;br /&gt;&lt;br /&gt;</t>
  </si>
  <si>
    <t>MED-264</t>
  </si>
  <si>
    <t>Medical Assisting Overview</t>
  </si>
  <si>
    <t>This course provides an overview of the complete medical assisting curriculum. Emphasis is placed on all facets of medical assisting pertinent to administrative, laboratory, and clinical procedures performed in the medical environment. Upon completion, students should be able to demonstrate competence in the areas covered on the national certification examination for medical assistants.&lt;br /&gt;&lt;br /&gt;</t>
  </si>
  <si>
    <t>MED-270</t>
  </si>
  <si>
    <t>Symptomatology</t>
  </si>
  <si>
    <t>This course covers the study of disease symptoms and the appropriate actions taken by medical assistants in a medical facility in relation to these symptoms. Emphasis is placed on interviewing skills and appropriate triage, preparing patients for procedures, and screening test results. Upon completion, students should be able to recognize how certain symptoms relate to specific diseases, recognize emergency situations, and take appropriate actions. &lt;br /&gt;&lt;br /&gt;</t>
  </si>
  <si>
    <t>MED-272</t>
  </si>
  <si>
    <t>Drug Therapy</t>
  </si>
  <si>
    <t>This course focuses on major drug groups, including their side effects, interactions, methods of administration, and proper documentation. Emphasis is placed on the theory of drug administration. Upon completion, students should be able to identify, spell, recognize side effects of, and document the most commonly used medications in a physician's office. &lt;br /&gt;&lt;br /&gt;</t>
  </si>
  <si>
    <t>MHA-140</t>
  </si>
  <si>
    <t>Introduction to Mental Health</t>
  </si>
  <si>
    <t>Mental Health (MHA)</t>
  </si>
  <si>
    <t>This course provides a comprehensive overview of mental health and wellness and the roles, duties, and ethical aspects of providing mental health services. Topics include the history of mental health services, common mental health challenges, professional qualifications, and current trends. Upon completion students will be able to discuss the impact of mental health, examine various treatment settings, and analyze the requirements for providing mental health services in public, private, nonprofit, and community environments.&lt;br /&gt;&lt;br /&gt;</t>
  </si>
  <si>
    <t>MHA-150</t>
  </si>
  <si>
    <t>Mental Health Interventions</t>
  </si>
  <si>
    <t>This course provides exposure to different mental health treatment and intervention modalities. Topics include professional and self-help forms of intervention. Upon completion, students will be able to apply culturally competent mental health intervention principles to individuals and groups in a variety of treatment settings.&lt;br /&gt;&lt;br /&gt;</t>
  </si>
  <si>
    <t>MHA-238</t>
  </si>
  <si>
    <t>Psychopathology</t>
  </si>
  <si>
    <t>This course examines the development and use of DSM/ICD in the mental health setting to establish a common language. Emphasis is placed on history, terminology, and assessment practices associated with the DSMIV/ICD in the treatment of psychological disorders. Upon completion, students should be able to explain the core vocabulary of  treatment approaches and their applications.&lt;br /&gt;&lt;br /&gt;</t>
  </si>
  <si>
    <t>MHA-240</t>
  </si>
  <si>
    <t>Advocacy</t>
  </si>
  <si>
    <t>This course covers the roles and duties of the individual and community advocate. Topics include treatment planning, needs assessment, referral procedures, and follow-up and integration of services. Upon completion, students should be able to effectively advocate for the care of the whole person and community.&lt;br /&gt;&lt;br /&gt;</t>
  </si>
  <si>
    <t>MKT-120</t>
  </si>
  <si>
    <t>Principles of Marketing</t>
  </si>
  <si>
    <t>Marketing (MKT)</t>
  </si>
  <si>
    <t>This course introduces principles and problems of marketing goods and services. Topics include promotion, placement, and pricing strategies for products. Upon completion, students should be able to apply marketing principles in organizational decision making. &lt;br /&gt;&lt;br /&gt;</t>
  </si>
  <si>
    <t>MKT-220</t>
  </si>
  <si>
    <t>Advertising and Sales Promotion</t>
  </si>
  <si>
    <t>This course covers the elements of advertising and sales promotion in the business environment. Topics include advertising and sales promotion appeals, selection of media, use of advertising and sales promotion as a marketing tool, and means of testing effectiveness. Upon completion, students should be able to demonstrate an understanding of the concepts covered through application.&lt;br /&gt;&lt;br /&gt;</t>
  </si>
  <si>
    <t>MKT-223</t>
  </si>
  <si>
    <t>Customer Experience</t>
  </si>
  <si>
    <t>This course stresses the importance of customer relations in the business world. Emphasis is placed on learning how to respond to complex customer requirements and to efficiently handle stressful situations. Upon completion, students should be able to demonstrate the ability to handle customer relations. &lt;br /&gt;&lt;br /&gt;</t>
  </si>
  <si>
    <t>MKT-225</t>
  </si>
  <si>
    <t>Marketing Research</t>
  </si>
  <si>
    <t>This course provides information for decision making by providing guidance in developing, analyzing, and using data. Emphasis is placed on marketing research as a tool in decision making. Upon completion, students should be able to design and conduct a marketing research project and interpret the results.&lt;br /&gt;&lt;br /&gt;</t>
  </si>
  <si>
    <t>MKT-227</t>
  </si>
  <si>
    <t>Marketing Applications</t>
  </si>
  <si>
    <t>This course extends the study of diverse marketing strategies. Emphasis is placed on case studies and small-group projects involving research or planning. Upon completion, students should be able to effectively participate in the formulation of a marketing strategy.&lt;br /&gt;&lt;br /&gt;</t>
  </si>
  <si>
    <t>MKT-232</t>
  </si>
  <si>
    <t>Social Media Marketing</t>
  </si>
  <si>
    <t>This course is designed to build students' social media marketing skills by utilizing projects that give students hands on experience implementing social media marketing strategies. Topics include integrating different social media technologies into a marketing plan, creating social media marketing campaigns, and applying appropriate social media tools. Upon completion, students should be able to use social media technologies to create and improve marketing efforts for businesses.&lt;br /&gt;&lt;br /&gt;</t>
  </si>
  <si>
    <t>MNT-240</t>
  </si>
  <si>
    <t>Industrial Equipment Troubleshooting</t>
  </si>
  <si>
    <t>Maintenance (MNT)</t>
  </si>
  <si>
    <t>This course covers the various service procedures, tools, instruments, and equipment necessary to analyze and repair typical industrial equipment. Emphasis is placed on electro-mechanical and fluid power equipment troubleshooting, calibration, and repair, including common techniques and procedures. Upon completion, students should be able to troubleshoot and repair industrial equipment. &lt;br /&gt;&lt;br /&gt;</t>
  </si>
  <si>
    <t>MUS-110</t>
  </si>
  <si>
    <t>Music Appreciation</t>
  </si>
  <si>
    <t>Music (MUS)</t>
  </si>
  <si>
    <t>This course is a basic survey of the music of the Western world. Emphasis is placed on the elements of music, terminology, composers, form, and style within a historical perspective. Upon completion, students should be able to demonstrate skills in basic listening and understanding of the art of music.&lt;br /&gt;
&lt;br /&gt;
&lt;i&gt;Note:  In accordance with the Comprehensive Articulation Agreement, this course has been approved to satisfy the Universal General Education Transfer Component requirement for humanities/fine arts in A.A. and A.S. degree programs. This course has been approved to meet the humanities/fine arts requirement in A.A.S. degree programs. &lt;/i&gt;&lt;br /&gt;&lt;br /&gt;</t>
  </si>
  <si>
    <t>MUS-111</t>
  </si>
  <si>
    <t>Fundamentals of Music</t>
  </si>
  <si>
    <t xml:space="preserve">This course is an introductory course for students with little or no music background. Emphasis is placed on music notation, rhythmic patterns, scales, key signature, intervals, and chords. Upon completion, students should be able to demonstrate an understanding of the rudiments of music.&lt;br /&gt;
&lt;br /&gt;
&lt;i&gt;Note:  This course has been approved for transfer under the CAA as a premajor and/or elective course requirement. This course has been approved for transfer under the ICAA as a premajor and/or elective course requirement.&lt;/i&gt;&lt;br /&gt;&lt;br /&gt;
</t>
  </si>
  <si>
    <t>MUS-112</t>
  </si>
  <si>
    <t>Introduction to Jazz</t>
  </si>
  <si>
    <t>This course introduces the origins and musical components of jazz and the contributions of its major artists. Emphasis is placed on the development of discriminating listening habits, as well as the investigation of the styles and structural forms of the jazz idiom. Upon completion, students should be able to demonstrate skills in listening and understanding this form of American music.&lt;br /&gt;
&lt;br /&gt;
&lt;i&gt;Note:  This course has been approved for transfer under the CAA as a premajor and/or elective course requirement. This course has been approved for transfer under the ICAA as a premajor and/or elective course requirement.&lt;/i&gt;&lt;br /&gt;&lt;br /&gt;</t>
  </si>
  <si>
    <t>MUS-131</t>
  </si>
  <si>
    <t>Chorus I</t>
  </si>
  <si>
    <t>This course provides an opportunity to gain experience singing in a chorus. Emphasis is placed on vocal techniques and the study and performance of a variety of styles and periods of choral literature. Upon completion, students should be able to demonstrate skills needed to participate in choral singing leading to performance.&lt;br /&gt;
&lt;br /&gt;
&lt;i&gt;Note:  This course has been approved for transfer under the CAA as a premajor and/or elective course requirement. This course has been approved for transfer under the ICAA as a premajor and/or elective course requirement.&lt;/i&gt;&lt;br /&gt;&lt;br /&gt;</t>
  </si>
  <si>
    <t>MUS-132</t>
  </si>
  <si>
    <t>Chorus II</t>
  </si>
  <si>
    <t>This course provides a continuation of studies begun in MUS 131. Emphasis is placed on vocal techniques and the study and performance of a variety of styles and periods of choral literature. Upon completion, students should be able to demonstrate skills needed to participate in choral singing leading to performance.&lt;br /&gt;
&lt;br /&gt;
&lt;i&gt;Note:  This course has been approved for transfer under the CAA as a premajor and/or elective course requirement. This course has been approved for transfer under the ICAA as a premajor and/or elective course requirement.&lt;/i&gt;&lt;br /&gt;&lt;br /&gt;</t>
  </si>
  <si>
    <t>MUS-210</t>
  </si>
  <si>
    <t>History of Rock Music</t>
  </si>
  <si>
    <t>This course is a survey of Rock music from the early 1950's to the present. Emphasis is placed on musical groups, soloists, and styles related to the evolution of this idiom and on related historical and social events. Upon completion, students should be able to identify specific styles and to explain the influence of selected performers within their respective eras.&lt;br /&gt;
&lt;br /&gt;
&lt;i&gt;Note:  This course has been approved for transfer under the CAA as a premajor and/or elective course requirement. This course has been approved for transfer under the ICAA as a premajor and/or elective course requirement.&lt;/i&gt;&lt;br /&gt;&lt;br /&gt;</t>
  </si>
  <si>
    <t>MUS-211</t>
  </si>
  <si>
    <t>History of Country Music</t>
  </si>
  <si>
    <t>This course introduces the varied origins of country music and the commercialization of this art form. Emphasis is placed on historical, sociocultural, and stylistic factors related to country music and musicians. Upon completion, students should be able to identify specific styles and explain the influence of pop culture on the development of country music.&lt;br /&gt;
&lt;br /&gt;
&lt;i&gt;Note:  This course has been approved for transfer under the CAA as a general education course in Humanities/Fine Arts. This course has been approved for transfer under the ICAA as a general education course in Humanities/Fine Arts.&lt;/i&gt;&lt;br /&gt;&lt;br /&gt;</t>
  </si>
  <si>
    <t>NET-125</t>
  </si>
  <si>
    <t>Introduction to Networks</t>
  </si>
  <si>
    <t>Networking Technology (NET)</t>
  </si>
  <si>
    <t>This course introduces the architecture, structure, functions, components, and models of the Internet and computer networks. Topics include introduction to the principles of IP addressing and fundamentals of Ethernet concepts, media, and operations. Upon completion, students should be able to build simple LANs, perform basic configurations for routers and switches, and implement IP addressing schemes.&lt;br /&gt;&lt;br /&gt;</t>
  </si>
  <si>
    <t>NOS-120</t>
  </si>
  <si>
    <t>Linux/UNIX Single User</t>
  </si>
  <si>
    <t>Network Operating Systems (NOS)</t>
  </si>
  <si>
    <t>This course develops the necessary skills for students to develop both GUI and command line skills for using and customizing a Linux workstation. Topics include Linux file system and access permissions, GNOME Interface, VI editor, X Window System expression pattern matching, I/O redirection, network and printing utilities. Upon completion, students should be able to customize and use Linux systems for command line requirements and desktop productivity roles. &lt;br /&gt;&lt;br /&gt;</t>
  </si>
  <si>
    <t>NOS-130</t>
  </si>
  <si>
    <t>Windows Single User</t>
  </si>
  <si>
    <t>This course introduces operating system concepts for single-user systems. Topics include hardware management, file and memory management, system configuration/optimization, and utilities. Upon completion, students should be able to perform operating systems functions at the support level in a single-user environment. &lt;br /&gt;&lt;br /&gt;</t>
  </si>
  <si>
    <t>NOS-230</t>
  </si>
  <si>
    <t>Windows Administration I</t>
  </si>
  <si>
    <t>This course covers the installation and configuration of a Windows Server operating system. Emphasis is placed on the basic configuration of core network services, Active Directory and group policies. Upon completion, students should be able to install and configure a Windows Server operating system. &lt;br /&gt;&lt;br /&gt;</t>
  </si>
  <si>
    <t>NUR-101</t>
  </si>
  <si>
    <t>Practical Nursing I</t>
  </si>
  <si>
    <t>Nursing (NUR)</t>
  </si>
  <si>
    <t>This course introduces the concepts within the three domains of the individual, healthcare, and nursing. Emphasis is placed on the concepts within each domain including assessment, clinical decision making, professional behaviors, caring interventions, biophysical and psychosocial concepts, communication, collaboration, teaching/learning, safety, ethical principles, legal issues, informatics, and evidence-based practice. Upon completion, students should be able to provide safe nursing care across the lifespan incorporating the concepts identified in this course.&lt;br /&gt;
&lt;br /&gt;
&lt;i&gt;Note:  This is a diploma-level course.&lt;/i&gt;&lt;br /&gt;&lt;br /&gt;</t>
  </si>
  <si>
    <t>NUR-102</t>
  </si>
  <si>
    <t>Practical Nursing II</t>
  </si>
  <si>
    <t>This course is designed to further develop the concepts within the three domains of the individual, nursing, and healthcare. Emphasis is placed on the concepts within each domain including clinical decision making, caring interventions, biophysical and psychosocial concepts, communication, collaboration, teaching and learning, accountability, safety, informatics, and evidence-based practice. Upon completion, students should be able to provide safe nursing care across the lifespan incorporating the concepts identified in this course.&lt;br /&gt;
&lt;br /&gt;
&lt;i&gt;Note:  This is a diploma-level course.&lt;/i&gt;&lt;br /&gt;&lt;br /&gt;</t>
  </si>
  <si>
    <t>NUR-103</t>
  </si>
  <si>
    <t>Practical Nursing III</t>
  </si>
  <si>
    <t>This course is designed to assimilate the concepts within the three domains of the individual, healthcare, and nursing. Emphasis is placed on biophysical and psychosocial concepts, professional behaviors, healthcare systems, health policy, and quality improvement. Upon completion, students should be able to demonstrate the knowledge, skills, and attitudes necessary to provide safe, quality, and individualized entry level nursing care.&lt;br /&gt;
&lt;br /&gt;
&lt;i&gt;Note:  This is a diploma-level course.&lt;/i&gt;&lt;br /&gt;&lt;br /&gt;</t>
  </si>
  <si>
    <t>NUR-111</t>
  </si>
  <si>
    <t>Introduction to Health Concepts</t>
  </si>
  <si>
    <t>This course introduces the concepts within the three domains of the individual, healthcare, and nursing. Emphasis is placed on the concepts within each domain including medication administration, assessment, nutrition, ethics, interdisciplinary teams, informatics, evidence-based practice, individual-centered care, and quality improvement. Upon completion, students should be able to provide safe nursing care incorporating the concepts identified in this course. &lt;br /&gt;&lt;br /&gt;</t>
  </si>
  <si>
    <t>NUR-112</t>
  </si>
  <si>
    <t>Health-Illness Concepts</t>
  </si>
  <si>
    <t>This course is designed to further develop the concepts within the three domains of the individual, healthcare, and nursing. Emphasis is placed on the concepts of acid-base, metabolism, cellular regulation, oxygenation, infection, stress/coping, health-wellness-illness, communication, caring interventions, managing care, safety, quality improvement, and informatics. Upon completion, students should be able to provide safe nursing care incorporating the concepts identified in this course. &lt;br /&gt;&lt;br /&gt;</t>
  </si>
  <si>
    <t>NUR-113</t>
  </si>
  <si>
    <t>Family Health Concepts</t>
  </si>
  <si>
    <t>This course is designed to further develop the concepts within the three domains of the individual, healthcare, and nursing. Emphasis is placed on the concepts of oxygenation, sexuality, reproduction, grief/loss, mood/affect, behaviors, development, family, health-wellness-illness, communication, caring interventions, managing care, safety, and advocacy. Upon completion, students should be able to provide safe nursing care incorporating the concepts identified in this course.&lt;br /&gt;&lt;br /&gt;</t>
  </si>
  <si>
    <t>NUR-114</t>
  </si>
  <si>
    <t>Holistic Health Concepts</t>
  </si>
  <si>
    <t>This course is designed to further develop the concepts within the three domains of the individual, healthcare, and nursing. Emphasis is placed on the concepts of cellular regulation, perfusion, inflammation, sensory perception, stress/coping, mood/affect, cognition, self, violence, health- wellness-illness, professional behaviors, caring interventions, and safety. Upon completion, students should be able to provide safe nursing care incorporating the concepts identified in this course. &lt;br /&gt;&lt;br /&gt;</t>
  </si>
  <si>
    <t>NUR-211</t>
  </si>
  <si>
    <t>Health Care Concepts</t>
  </si>
  <si>
    <t>This course is designed to further develop the concepts within the three domains of the individual, healthcare, and nursing. Emphasis is placed on the concepts of cellular regulation, perfusion, infection, immunity, mobility, comfort, behaviors, health-wellness-illness, clinical decision- making, caring interventions, managing care, and safety. Upon completion, students should be able to provide safe nursing care incorporating the concepts identified in this course. &lt;br /&gt;&lt;br /&gt;</t>
  </si>
  <si>
    <t>NUR-212</t>
  </si>
  <si>
    <t>Health System Concepts</t>
  </si>
  <si>
    <t>This course is designed to further develop the concepts within the three domains of the individual, healthcare, and nursing. Emphasis is placed on the concepts of grief/loss, violence, health- wellness-illness, collaboration, managing care, safety, advocacy, legal issues, policy, healthcare systems, ethics, accountability, and evidence-based practice. Upon completion, students should be able to provide safe nursing care incorporating the concepts identified in this course. &lt;br /&gt;&lt;br /&gt;</t>
  </si>
  <si>
    <t>NUR-213</t>
  </si>
  <si>
    <t>Complex Health Concepts</t>
  </si>
  <si>
    <t>This course is designed to assimilate the concepts within the three domains of the individual, healthcare, and nursing. Emphasis is placed on the concepts of fluid/electrolytes, metabolism, perfusion, mobility, stress/coping, violence, health-wellness-illness, professional behaviors, caring interventions, managing care, healthcare systems, and quality improvement. Upon completion, students should be able to demonstrate the knowledge, skills, and attitudes necessary to provide quality, individualized, entry level nursing care. &lt;br /&gt;&lt;br /&gt;</t>
  </si>
  <si>
    <t>OST-131</t>
  </si>
  <si>
    <t>Keyboarding</t>
  </si>
  <si>
    <t>Office Systems Technology (OST)</t>
  </si>
  <si>
    <t>This course covers basic keyboarding skills. Emphasis is placed on the touch system, correct techniques, and development of speed and accuracy. Upon completion, students should be able to key at an acceptable speed and accuracy level using the touch system.&lt;br /&gt;&lt;br /&gt;</t>
  </si>
  <si>
    <t>OST-136</t>
  </si>
  <si>
    <t>Work Processing</t>
  </si>
  <si>
    <t>This course is designed to introduce word processing concepts and applications. Topics include preparation of a variety of documents and mastery of specialized software functions. Upon completion, students should be able to work effectively in a computerized word processing environment.&lt;br /&gt;&lt;br /&gt;</t>
  </si>
  <si>
    <t>OST-137</t>
  </si>
  <si>
    <t>Office Applications I</t>
  </si>
  <si>
    <t>This course introduces the concepts and functions of software that meets the changing needs of the community. Emphasis is placed on the terminology and use of software through a hands-on approach. Upon completion, students should be able to use software in a business environment.&lt;br /&gt;&lt;br /&gt;</t>
  </si>
  <si>
    <t>OST-286</t>
  </si>
  <si>
    <t>Professional Development</t>
  </si>
  <si>
    <t>This course covers the personal competencies and qualities needed to project a professional image in the office. Topics include interpersonal skills, health lifestyles, appearance, attitude, personal and professional growth, multicultural awareness, and professional etiquette. Upon completion, students should be able to demonstrate these attributes in the classroom, office, and society. &lt;br /&gt;&lt;br /&gt;</t>
  </si>
  <si>
    <t>PAD-151</t>
  </si>
  <si>
    <t>Introduction to Public Administration</t>
  </si>
  <si>
    <t>Public Administration (PAD)</t>
  </si>
  <si>
    <t>This course includes an overview of the role of the public administrator in government and an examination of the development and implementation of public policy. Topics include public personnel administration and management, decision making, public affairs, ethics, organizational theories, budgetary functions within governmental agencies, and other governmental issues. Upon completion, students should be able to explain the functions of government in society and in the lives of people composing that society.&lt;br /&gt;&lt;br /&gt;</t>
  </si>
  <si>
    <t>PAD-152</t>
  </si>
  <si>
    <t>Ethics in Government</t>
  </si>
  <si>
    <t>This course introduces the ethical issues and problems within the public administration field. Emphasis is placed on building analytical skills, stimulating moral imagination, and recognizing the discretionary power of the administrator's role. Upon completion, students should be able to understand the moral dimensions of public administrative decision making.&lt;br /&gt;&lt;br /&gt;</t>
  </si>
  <si>
    <t>PAD-251</t>
  </si>
  <si>
    <t>Public Finance &amp; Budgeting</t>
  </si>
  <si>
    <t>This course provides an overview of the public finance and budgeting processes used in the allocation of public resources to meet differing public interests. Topics include the political environment, government expenditures, revenues, taxation, budgetary process theories and techniques, and the relation of government finance to the economy. Upon completion, students should be able to recognize impacts of government revenue and expenditure policies and understand the role of budgeting in executing governmental policy.&lt;br /&gt;&lt;br /&gt;</t>
  </si>
  <si>
    <t>PAD-252</t>
  </si>
  <si>
    <t>Public Policy Analysis</t>
  </si>
  <si>
    <t>This course is a study of methods and techniques used to determine the effectiveness of public programs. Emphasis is placed on the concept of ecology and environmental impact, informal groups and information networks, and the relationship between public and private sectors. Upon completion, students should be able to analyze case studies with the use of political analysis techniques.&lt;br /&gt;&lt;br /&gt;</t>
  </si>
  <si>
    <t>PCI-172</t>
  </si>
  <si>
    <t>SCADA Systems</t>
  </si>
  <si>
    <t>Process Control Instrumentation (PCI)</t>
  </si>
  <si>
    <t>This course is a survey of SCADA systems found in the industrial setting.  Topics include single and/or multiple machine operator interfaces utilizing hardware and software systems running SCADA or HMI software for system monitoring and control.  Upon completion, students should be able to demonstrate an understanding of the utilization and implementation of custom and commercial SCADA or HMI software.&lt;br /&gt;&lt;br /&gt;</t>
  </si>
  <si>
    <t>PED-110</t>
  </si>
  <si>
    <t>Fitness and Wellnes for Life</t>
  </si>
  <si>
    <t>Physical Education (PED)</t>
  </si>
  <si>
    <t>This course is designed to investigate and apply the basic concepts and principles of lifetime physical fitness and other health-related factors. Emphasis is placed on wellness through the study of nutrition, weight control, stress management, and consumer facts on exercise and fitness. Upon completion, students should be able to plan a personal, lifelong fitness program based on individual needs, abilities, and interests.&lt;br /&gt;
&lt;br /&gt;
&lt;i&gt;Note:  In accordance with the Comprehensive Articulation Agreement, this course has been approved to satisfy the pre-major/elective requirement in A.A. and A.S. degree programs.&lt;/i&gt;&lt;br /&gt;&lt;br /&gt;</t>
  </si>
  <si>
    <t>PED-120</t>
  </si>
  <si>
    <t>Walking for Fitness</t>
  </si>
  <si>
    <t>This course introduces fitness through walking. Emphasis is placed on stretching, conditioning exercises, proper clothing, fluid needs, and injury prevention. Upon completion, students should be able to participate in a recreational walking program.&lt;br /&gt;
&lt;br /&gt;
&lt;i&gt;Note:  In accordance with the Comprehensive Articulation Agreement, this course has been approved to satisfy the pre-major/elective requirement in A.A. and A.S. degree programs.&lt;/i&gt;&lt;br /&gt;&lt;br /&gt;</t>
  </si>
  <si>
    <t>PED-121</t>
  </si>
  <si>
    <t>Walk, Jog, Run</t>
  </si>
  <si>
    <t>This course covers the basic concepts involved in safely and effectively improving cardiovascular fitness. Emphasis is placed on walking, jogging, or running as a means of achieving fitness. Upon completion, students should be able to understand and appreciate the benefits derived from these activities.&lt;br /&gt;
&lt;br /&gt;
&lt;i&gt;Note:  In accordance with the Comprehensive Articulation Agreement, this course has been approved to satisfy the pre-major/elective requirement in A.A. and A.S. degree programs.&lt;/i&gt;&lt;br /&gt;&lt;br /&gt;</t>
  </si>
  <si>
    <t>PED-138</t>
  </si>
  <si>
    <t>Archery</t>
  </si>
  <si>
    <t>This course introduces basic archery safety and skills. Topics include proper techniques of stance, bracing, drawing, and releasing as well as terminology and scoring. Upon completion, students should be able to participate safely in target archery.&lt;br /&gt;
&lt;i&gt;Note:  This course has been approved for transfer under the CAA as a premajor and/or elective course requirement. This course has been approved for transfer under the ICAA as a premajor and/or elective course requirement.&lt;/i&gt;&lt;br /&gt;&lt;br /&gt;</t>
  </si>
  <si>
    <t>PED-143</t>
  </si>
  <si>
    <t>Volleyball-Beginning</t>
  </si>
  <si>
    <t>This course covers the fundamentals of volleyball. Emphasis is placed on the basics of serving, passing, setting, spiking, blocking, and the rules and etiquette of volleyball. Upon completion, students should be able to participate in recreational volleyball.&lt;br /&gt;
&lt;br /&gt;
&lt;i&gt;Note:  This course has been approved for transfer under the CAA as a premajor and/or elective course requirement. This course has been approved for transfer under the ICAA as a premajor and/or elective course requirement.&lt;/i&gt;&lt;br /&gt;&lt;br /&gt;</t>
  </si>
  <si>
    <t>PED-147</t>
  </si>
  <si>
    <t>Soccer</t>
  </si>
  <si>
    <t>This course introduces the basics of soccer. Emphasis is placed on rules, strategies, and fundamental skills. Upon completion, students should be able to participate in recreational soccer.&lt;br /&gt;
&lt;br /&gt;
&lt;i&gt;Note:  This course has been approved for transfer under the CAA as a premajor and/or elective course requirement. This course has been approved for transfer under the ICAA as a premajor and/or elective course requirement.&lt;/i&gt;&lt;br /&gt;&lt;br /&gt;</t>
  </si>
  <si>
    <t>PED-157</t>
  </si>
  <si>
    <t>Pickleball</t>
  </si>
  <si>
    <t>This course covers the fundamentals of pickleball. Emphasis is placed on the basics of serving, ground strokes (drives, drops, dinks, punches, and lobs), overhead strokes (smashes and slams), and the rules and strategies of singles and doubles play. Upon completion, students should be able to apply these skills in pickleball playing situations.&lt;br /&gt;
&lt;br /&gt;
&lt;i&gt;Note:  This course has been approved for transfer under the CAA as a premajor and/or elective course requirement. This course has been approved for transfer under the ICAA as a premajor and/or elective course requirement.&lt;/i&gt;&lt;br /&gt;&lt;br /&gt;</t>
  </si>
  <si>
    <t>PED-162</t>
  </si>
  <si>
    <t>Angling</t>
  </si>
  <si>
    <t>This course introduces the sport of angling. Emphasis is placed on fishing with the use of artificial lures. Upon completion, students should be able to cast and retrieve using baitcaster and spinning reels and identify the various types of artificial lures.&lt;br /&gt;
&lt;br /&gt;
&lt;i&gt;Note:  This course has been approved for transfer under the CAA as a premajor and/or elective course requirement. This course has been approved for transfer under the ICAA as a premajor and/or elective course requirement.&lt;/i&gt;&lt;br /&gt;&lt;br /&gt;</t>
  </si>
  <si>
    <t>PED-172</t>
  </si>
  <si>
    <t>Outdoor Living</t>
  </si>
  <si>
    <t>This course is designed to acquaint the beginning camper with outdoor skills. Topics include camping techniques such as cooking and preserving food, safety, and setting up camp. Upon completion, students should be able to set up camp sites in field experiences using proper procedures.&lt;br /&gt;
&lt;br /&gt;
&lt;i&gt;Note:  This course has been approved for transfer under the CAA as a premajor and/or elective course requirement. This course has been approved for transfer under the ICAA as a premajor and/or elective course requirement.&lt;/i&gt;&lt;br /&gt;&lt;br /&gt;</t>
  </si>
  <si>
    <t>PED-174</t>
  </si>
  <si>
    <t>Wilderness Pursuits</t>
  </si>
  <si>
    <t>This course covers the skills necessary to prepare for and participate in a wilderness trip.  Emphasis is placed on planning, preparing, and participating in a wilderness pack trip.  Upon completion, students should be able to safely participate in overnight wilderness pack trips.&lt;br /&gt;
&lt;br /&gt;
&lt;i&gt;Note:  This course has been approved for transfer under the CAA as a premajor and/or elective course requirement. This course has been approved for transfer under the ICAA as a premajor and/or elective course requirement.&lt;/i&gt;&lt;br /&gt;&lt;br /&gt;</t>
  </si>
  <si>
    <t>PED-219</t>
  </si>
  <si>
    <t>Disc Golf</t>
  </si>
  <si>
    <t>This course introduces the fundamentals of disc golf. Emphasis is placed on basic throwing techniques, putting, distance driving, scoring, and single and doubles play. Upon completion, students should be able to perform the skills required in playing situations.&lt;br /&gt;
&lt;br /&gt;
&lt;i&gt;Note:  This course has been approved for transfer under the CAA as a premajor and/or elective course requirement. This course has been approved for transfer under the ICAA as a premajor and/or elective course requirement.&lt;/i&gt;&lt;br /&gt;&lt;br /&gt;</t>
  </si>
  <si>
    <t>PED-277</t>
  </si>
  <si>
    <t>Ultimate Frisbee</t>
  </si>
  <si>
    <t>This course introduces the fundamentals of ultimate frisbee. Emphasis is placed on basic throwing techniques, offense vs defense, movement of the disc, change of possession, fouls, self-refereeing, and scoring. Upon completion, students should be able to perform the skills required in playing situations.&lt;br /&gt;
&lt;br /&gt;
&lt;i&gt;Note:  This course has been approved for transfer under the CAA as a premajor and/or elective course requirement. This course has been approved for transfer under the ICAA as a premajor and/or elective course requirement.&lt;/i&gt;&lt;br /&gt;&lt;br /&gt;</t>
  </si>
  <si>
    <t>PHI-215</t>
  </si>
  <si>
    <t>Philosophical Issues</t>
  </si>
  <si>
    <t>Philosophy (PHI)</t>
  </si>
  <si>
    <t>This course introduces fundamental issues in philosophy considering the views of classical and contemporary philosophers. Emphasis is placed on knowledge and belief, appearance and reality, determinism and free will, faith and reason, and justice and inequality. Upon completion, students should be able to identify, analyze, and critically evaluate the philosophical components of an issue.&lt;br /&gt;
&lt;br /&gt;
&lt;i&gt;Note:  In accordance with the Comprehensive Articulation Agreement, this course has been approved to satisfy the general education requirement for humanities/fine arts in A.A., A.S., A.A.S. degree programs.&lt;/i&gt;&lt;br /&gt;&lt;br /&gt;</t>
  </si>
  <si>
    <t>PHI-240</t>
  </si>
  <si>
    <t>Introduction to Ethics</t>
  </si>
  <si>
    <t>This course introduces theories about the nature and foundations of moral judgments and applications to contemporary moral issues. Emphasis is placed on moral theories such as consequentialism, deontology, and virtue ethics. Upon completion, student should be able to apply various ethical theories to moral issues such as abortion, capital punishment, poverty, war, terrorism, the treatment of animals, and issues arising from new technologies.&lt;br /&gt;
&lt;br /&gt;
&lt;i&gt;Note:  In accordance with the Comprehensive Articulation Agreement, this course has been approved to satisfy the Universal General Education Transfer Component requirement for humanities/fine arts in A.A. and A.S. degree programs. This course has been approved to meet the humanities/fine arts requirement in A.A.S. degree programs. &lt;/i&gt;&lt;br /&gt;&lt;br /&gt;</t>
  </si>
  <si>
    <t>PHY-110</t>
  </si>
  <si>
    <t>Conceptual Physics</t>
  </si>
  <si>
    <t>Physics (PHY)</t>
  </si>
  <si>
    <t>This course provides a conceptually-based exposure to the fundamental principles and processes of the physical world. Topics include basic concepts of motion, forces, energy, heat, electricity, magnetism, and the structure of matter and the universe. Upon completion, students should be able to describe examples and applications of the principles studied.&lt;br /&gt;
&lt;br /&gt;
&lt;i&gt;Note:  In accordance with the Comprehensive Articulation Agreement, this course has been approved to satisfy the Universal General Education Transfer Component requirement for natural sciences in A.A. and A.S. degree programs. This course has been approved to meet the natural sciences requirement for A.A.S. degree programs.&lt;/i&gt;&lt;br /&gt;&lt;br /&gt;</t>
  </si>
  <si>
    <t>PHY-110A</t>
  </si>
  <si>
    <t>Conceptual Physics Lab</t>
  </si>
  <si>
    <t>This course is a laboratory for PHY 110. Emphasis is placed on laboratory experiences that enhance materials presented in PHY 110. Upon completion, students should be able to apply the laboratory experiences to the concepts presented in PHY 110.&lt;br /&gt;
&lt;br /&gt;
&lt;i&gt;Note:  In accordance with the Comprehensive Articulation Agreement, this course has been approved to satisfy the Universal General Education Transfer Component requirement for natural sciences in A.A. and A.S. degree programs. This course has been approved to meet the natural sciences requirement for A.A.S. degree programs.&lt;/i&gt;&lt;br /&gt;&lt;br /&gt;</t>
  </si>
  <si>
    <t>PHY-131</t>
  </si>
  <si>
    <t>Physics-Mechanics</t>
  </si>
  <si>
    <t>This algebra/trigonometry-based course introduces fundamental physical concepts as applied to engineering technology fields. Topics include systems of units, problem-solving methods, graphical analysis, vectors, motion, forces, Newton's laws of motions, work, energy, power, momentum, and properties of matter. Upon completion, students should be able to apply the principles studied to applications in engineering technology fields.&lt;br /&gt;&lt;br /&gt;</t>
  </si>
  <si>
    <t>PHY-151</t>
  </si>
  <si>
    <t>College Physics I</t>
  </si>
  <si>
    <t>This course uses algebra- and trigonometry-based mathematical models to introduce the fundamental concepts that describe the physical world. Topics include units and measurement, vectors, linear kinematics and dynamics, energy, power, momentum, fluid mechanics, and heat. Upon completion, students should be able to demonstrate an understanding of the principles involved and display analytical problem-solving ability for the topics covered.&lt;br /&gt;
&lt;br /&gt;
&lt;i&gt;Note:  In accordance with the Comprehensive Articulation Agreement, this course has been approved to satisfy the Universal General Education Transfer Component requirement for natural sciences in the A.S. degree program. This course has been approved to meet the natural sciences requirement for A.A.S. degree programs.&lt;/i&gt;&lt;br /&gt;&lt;br /&gt;</t>
  </si>
  <si>
    <t>PHY-152</t>
  </si>
  <si>
    <t>College Physics II</t>
  </si>
  <si>
    <t>This course uses algebra- and trigonometry-based mathematical models to introduce the fundamental concepts that describe the physical world. Topics include electrostatic forces, electric fields, electric potentials, direct-current circuits, magnetostatic forces, magnetic fields, electromagnetic induction, alternating-current circuits, and light. Upon completion, students should be able to demonstrate an understanding of the principles involved and display analytical problem-solving ability for the topics covered.&lt;br /&gt;
&lt;br /&gt;
&lt;i&gt;Note:  In accordance with the Comprehensive Articulation Agreement, this course has been approved to satisfy the Universal General Education Transfer Component requirement for natural sciences in the A.S. degree program. This course has been approved to meet the natural sciences requirement for A.A.S. degree programs.&lt;/i&gt;&lt;br /&gt;&lt;br /&gt;</t>
  </si>
  <si>
    <t>PHY-251</t>
  </si>
  <si>
    <t>General Physics I</t>
  </si>
  <si>
    <t>This course uses calculus-based mathematical models to introduce the fundamental concepts that describe the physical world. Topics include units and measurement, vector operations, linear kinematics and dynamics, energy, power, momentum, rotational mechanics, periodic motion, fluid mechanics, and heat. Upon completion, students should be able to demonstrate an understanding of the principles involved and display analytical problem-solving ability for the topics covered.&lt;br /&gt;
&lt;br /&gt;
&lt;i&gt;Note: In accordance with the Comprehensive Articulation Agreement, this course has been approved to satisfy the Universal General Education Transfer Component requirement for natural sciences in the A.S. degree program. This course has been approved to meet the natural sciences requirement for A.A.S. degree programs.&lt;/i&gt;&lt;br /&gt;&lt;br /&gt;</t>
  </si>
  <si>
    <t>PHY-252</t>
  </si>
  <si>
    <t>General Physics II</t>
  </si>
  <si>
    <t>This course uses calculus-based mathematical models to introduce the fundamental concepts that describe the physical world. Topics include electrostatic forces, electric fields, electric potentials, direct-current circuits, magnetostatic forces, magnetic fields, electromagnetic induction, alternating-current circuits, and light. Upon completion, students should be able to demonstrate an understanding of the principles involved and display analytical problem-solving ability for the topics covered.&lt;br /&gt;
&lt;br /&gt;
&lt;i&gt;Note: In accordance with the Comprehensive Articulation Agreement, this course has been approved to satisfy the Universal General Education Transfer Component requirement for natural sciences in the A.S. degree program. This course has been approved to meet the natural sciences requirement for A.A.S. degree programs.&lt;/i&gt;&lt;br /&gt;&lt;br /&gt;</t>
  </si>
  <si>
    <t>PMT-110</t>
  </si>
  <si>
    <t>Introduction to Project Management</t>
  </si>
  <si>
    <t>Project Management Technology (PMT)</t>
  </si>
  <si>
    <t>This course introduces project management fundamentals and principles for organizing, planning, implementing, and controlling nonroutine activities to achieve schedule, budget and performance objectives. Topics include project life cycles; work breakdown structures; responsibility matrixes; as well as planning and control methods such as PERT/CPM and Gantt charts. Upon completion, students should be able demonstrate knowledge, strategies, and techniques needed to create and execute plans for project development and management.&lt;br /&gt;&lt;br /&gt;</t>
  </si>
  <si>
    <t>PMT-210</t>
  </si>
  <si>
    <t>Project Management Issues</t>
  </si>
  <si>
    <t>This course is designed to explore various development and management techniques and tools of integrated project schedules and plans. Emphasis is placed on project control methods from a scheduling perspective, including critical path networking, float analysis, and schedule performance predictability and accomplishment. Upon completion, students should have a clear understanding of accepted techniques for schedule development and management.&lt;br /&gt;&lt;br /&gt;</t>
  </si>
  <si>
    <t>PMT-215</t>
  </si>
  <si>
    <t>Project Management Leadership</t>
  </si>
  <si>
    <t>This course provides an overview of the importance of project teams and human resource management in the planning, scheduling, and controlling of multi-project programs. Topics include the role of projects in organizations; alternative organizational systems; program management methodologies; team management and leadership; legal/ethical issues; and conflict identification/resolution. Upon completion, students should be able to identify and exhibit the behaviors needed for effective project management and team leadership.&lt;br /&gt;&lt;br /&gt;</t>
  </si>
  <si>
    <t>POL-120</t>
  </si>
  <si>
    <t>American Government</t>
  </si>
  <si>
    <t>Political Science (POL)</t>
  </si>
  <si>
    <t>This course is a study of the origins, development, structure, and functions of American government. Topics include the constitutional framework, federalism, the three branches of government including the bureaucracy, civil rights and liberties, political participation and behavior, and policy process. Upon completion, students should be able to demonstrate an understanding of the basic concepts and participatory processes of the American political system.&lt;br /&gt;
&lt;br /&gt;
&lt;i&gt;Note:  In accordance with the Comprehensive Articulation Agreement, this course has been approved to satisfy the Universal General Education Transfer Component requirement for social/behavioral sciences in A.A. and A.S. degree programs. This course has been approved to meet the social/behavioral sciences requirement in A.A.S. degree programs.&lt;/i&gt;&lt;br /&gt;&lt;br /&gt;</t>
  </si>
  <si>
    <t>PSY-150</t>
  </si>
  <si>
    <t>General Psychology</t>
  </si>
  <si>
    <t>Psychology (PSY)</t>
  </si>
  <si>
    <t>This course provides an overview of the scientific study of human behavior. Topics include history, methodology, biopsychology, sensation, perception, learning, motivation, cognition, abnormal behavior, personality theory, social psychology, and other relevant topics. Upon completion, students should be able to demonstrate a basic knowledge of the science of psychology.&lt;br /&gt;
&lt;br /&gt;
&lt;i&gt;Note:  In accordance with the Comprehensive Articulation Agreement, this course has been approved to satisfy the Universal General Education Transfer Component requirement for social/behavioral sciences in A.A. and A.S. degree programs. This course has been approved to meet the social/behavioral sciences requirement in A.A.S. degree programs.&lt;/i&gt;&lt;br /&gt;&lt;br /&gt;</t>
  </si>
  <si>
    <t>PSY-241</t>
  </si>
  <si>
    <t>Developmental Psychology</t>
  </si>
  <si>
    <t>This course is a study of human growth and development. Emphasis is placed on major theories and perspectives as they relate to the physical, cognitive, and psychosocial aspects of development from conception to death. Upon completion, students should be able to demonstrate knowledge of development across the life span.&lt;br /&gt;
&lt;br /&gt;
&lt;i&gt;Note:  In accordance with the Comprehensive Articulation Agreement, this course has been approved to satisfy the general education requirement for social/behavioral sciences in A.A., A.S., and A.A.S. degree programs.&lt;/i&gt;&lt;br /&gt;&lt;br /&gt;</t>
  </si>
  <si>
    <t>PSY-281</t>
  </si>
  <si>
    <t>Abnormal Psychology</t>
  </si>
  <si>
    <t>This course provides an examination of the various psychological disorders, as well as theoretical, clinical, and experimental perspectives of the study of psychopathology. Emphasis is placed on terminology, classification, etiology, assessment, and treatment of the major disorders. Upon completion, students should be able to distinguish between normal and abnormal behavioral patterns as well as demonstrate knowledge of etiology, symptoms, and therapeutic techniques.&lt;br /&gt;
&lt;br /&gt;
&lt;i&gt;Note:  In accordance with the Comprehensive Articulation Agreement, this course has been approved to satisfy the general education requirement for social/behavioral science in A.A., A.S., and A.A.S. degree programs.&lt;/i&gt;&lt;br /&gt;&lt;br /&gt;</t>
  </si>
  <si>
    <t>REL-110</t>
  </si>
  <si>
    <t>World Religions</t>
  </si>
  <si>
    <t>Religion (REL)</t>
  </si>
  <si>
    <t>This course introduces the world's major religious traditions. Topics include Primal religions, Hinduism, Buddhism, Islam, Judaism, and Christianity. Upon completion, students should be able to identify the origins, history, beliefs, and practices of the religions studied.&lt;br /&gt;
&lt;br /&gt;
&lt;i&gt;Note:  In accordance with the Comprehensive Articulation Agreement, this course has been approved to satisfy the general education requirement for humanities/fine arts in A.A., A.S., and A.A.S. degree programs.&lt;/i&gt;&lt;br /&gt;&lt;br /&gt;</t>
  </si>
  <si>
    <t>REL-211</t>
  </si>
  <si>
    <t>Introduction to Old Testament</t>
  </si>
  <si>
    <t>This course is a survey of the literature of the Hebrews with readings from the law, prophets, and other writings. Emphasis is placed on the use of literary, historical, archeological, and cultural analysis. Upon completion, students should be able to use the tools of critical analysis to read and understand Old Testament literature.&lt;br /&gt;
&lt;br /&gt;
&lt;i&gt;Note:  In accordance with the Comprehensive Articulation Agreement, this course has been approved to satisfy the general education requirement for humanities/fine arts in A.A., A.S., and A.A.S. degree programs.&lt;/i&gt;&lt;br /&gt;&lt;br /&gt;</t>
  </si>
  <si>
    <t>REL-212</t>
  </si>
  <si>
    <t>Introduction to New Testament</t>
  </si>
  <si>
    <t>This course is a survey of the literature of first-century Christianity with readings from the gospels, Acts, and the Pauline and pastoral letters. Topics include the literary structure, audience, and religious perspective of the writings, as well as the historical and cultural context of the early Christian community. Upon completion, students should be able to use the tools of critical analysis to read and understand New Testament literature.&lt;br /&gt;
&lt;br /&gt;
&lt;i&gt;Note:  In accordance with the Comprehensive Articulation Agreement, this course has been approved to satisfy the general education requirement for humanities/fine arts in A.A., A.S., and A.A.S. degree programs.&lt;/i&gt;&lt;br /&gt;&lt;br /&gt;</t>
  </si>
  <si>
    <t>SAB-110</t>
  </si>
  <si>
    <t>Introduction to Addiction &amp; Recovery</t>
  </si>
  <si>
    <t>Substance Abuse (SAB)</t>
  </si>
  <si>
    <t>This course provides an overview of the core concepts in addiction and recovery. Topics include the history of substance use, effects on society members, treatment of addiction, and preventive measures. Upon completion, students should be able to demonstrate knowledge of the etiology of substance abuse, addiction, prevention,  treatment, and recovery.&lt;br /&gt;&lt;br /&gt;</t>
  </si>
  <si>
    <t>SAB-120</t>
  </si>
  <si>
    <t>Intake and Assessment</t>
  </si>
  <si>
    <t>This course covers processes for rapport building and procedures used to identify and evaluate individuals' strengths and weaknesses. Topics include diagnostic evaluation and placement, effective interviewing and communication techniques, and use of assessment tools. Upon completion, students should be able to establish rapport with individuals, recognize disorders, and obtain information for referrals and placement.&lt;br /&gt;&lt;br /&gt;</t>
  </si>
  <si>
    <t>SAB-125</t>
  </si>
  <si>
    <t>Addiction &amp; Recovery Case Management</t>
  </si>
  <si>
    <t>This course covers activities which bring services, agencies, resources, or people together within a planned framework of action. Emphasis is placed on coordinated services for client care. Upon completion, students should be able to develop a service plan, work with various resources, and measure individuals' progress toward goals.&lt;br /&gt;&lt;br /&gt;</t>
  </si>
  <si>
    <t>SAB-135</t>
  </si>
  <si>
    <t>Addictive Processes</t>
  </si>
  <si>
    <t>This course covers the physical, emotional, psychological, and cultural aspects of the addictive process. Emphasis is placed on disorders related to addictions to, alcohol, drugs, food, sex, work, gambling, internet, and relationships. Upon completion, students should be able to identify the effects, prevention strategies, and treatment methods associated with addictive disorders.&lt;br /&gt;&lt;br /&gt;</t>
  </si>
  <si>
    <t>SAB-210</t>
  </si>
  <si>
    <t>Addiction &amp; Recovery Counseling</t>
  </si>
  <si>
    <t>This course provides theory and skills acquisition by utilizing intervention strategies designed to obtain therapeutic information, support recovery, and prevent relapse. Topics include counseling individuals and dysfunctional families, screening instruments, counseling techniques and approaches, recovery and relapse, and special populations. Upon completion, students should be able to discuss issues critical to recovery, identify intervention models, and initiate a procedure culminating in cognitive/behavioral change.&lt;br /&gt;&lt;br /&gt;</t>
  </si>
  <si>
    <t>SAB-240</t>
  </si>
  <si>
    <t>Diversity, Ethics, &amp; Trends in Addiction &amp; Recovery</t>
  </si>
  <si>
    <t>This course introduces systems of diversity, ethics, and trends in addiction and recovery. Topics include confidentiality, assessment of personal values, professional responsibilities, competencies, and ethics relative to multicultural service provision. Upon completion, students should be able to apply and discuss multiple diversity and ethical scenarios applicable to addiction and recovery services.&lt;br /&gt;&lt;br /&gt;</t>
  </si>
  <si>
    <t>SEC-110</t>
  </si>
  <si>
    <t>Security Concepts</t>
  </si>
  <si>
    <t>Information Systems Security (SEC)</t>
  </si>
  <si>
    <t>This course introduces the concepts and issues related to securing information systems and the development of policies to implement information security controls. Topics include the historical view of networking and security, security issues, trends, security resources, and the role of policy, people, and processes in information security. Upon completion, students should be able to identify information security risks, create an information security policy, and identify processes to implement and enforce policy. &lt;br /&gt;&lt;br /&gt;</t>
  </si>
  <si>
    <t>SEC-160</t>
  </si>
  <si>
    <t>Security Administration I</t>
  </si>
  <si>
    <t>This course provides an overview of security administration and fundamentals of designing security architectures. Topics include networking technologies, TCP/IP concepts, protocols, network traffic analysis, monitoring, and security best practices. Upon completion, students should be able to identify normal network traffic using network analysis tools and design basic security defenses.&lt;br /&gt;&lt;br /&gt;</t>
  </si>
  <si>
    <t>SOC-210</t>
  </si>
  <si>
    <t>Introduction to Sociology</t>
  </si>
  <si>
    <t>Sociology (SOC)</t>
  </si>
  <si>
    <t>This course introduces the scientific study of human society, culture, and social interactions. Topics include socialization, research methods, diversity and inequality, cooperation and conflict, social change, social institutions, and organizations. Upon completion, students should be able to demonstrate knowledge of sociological concepts as they apply to the interplay among individuals, groups, and societies.&lt;br /&gt;
&lt;br /&gt;
&lt;i&gt;Note:  In accordance with the Comprehensive Articulation Agreement, this course has been approved to satisfy the Universal General Education Transfer Component requirement for social/behavioral sciences in A.A. and A.S. degree programs. This course has been approved to meet the social/behavioral sciences requirement in A.A.S. degree programs.&lt;/i&gt;&lt;br /&gt;&lt;br /&gt;</t>
  </si>
  <si>
    <t>SOC-213</t>
  </si>
  <si>
    <t>Sociology of the Family</t>
  </si>
  <si>
    <t>This course covers the institution of the family and other intimate relationships. Emphasis is placed on mate selection, gender roles, sexuality, communication, power and conflict, parenthood, diverse lifestyles, divorce and remarriage, and economic issues. Upon completion, students should be able to analyze the family as a social institution and the social forces which influence its development and change.&lt;br /&gt;
&lt;br /&gt;
&lt;i&gt;Note:  In accordance with the Comprehensive Articulation Agreement, this course has been approved to satisfy the general education requirement for social/behavioral sciences in A.A., A.S., and A.A.S. degree programs.&lt;/i&gt;&lt;br /&gt;&lt;br /&gt;</t>
  </si>
  <si>
    <t>SOC-220</t>
  </si>
  <si>
    <t>Social Problems</t>
  </si>
  <si>
    <t>This course provides an in-depth study of current social problems. Emphasis is placed on causes, consequences, and possible solutions to problems associated with families, schools, workplaces, communities, and the environment. Upon completion, students should be able to recognize, define, analyze, and propose solutions to these problems.&lt;br /&gt;
&lt;br /&gt;
&lt;i&gt;Note: In accordance with the Comprehensive Articulation Agreement, this course has been approved to satisfy the general education requirement for social/behavioral sciences in A.A., A.S., and A.A.S. degree programs.&lt;/i&gt;&lt;br /&gt;&lt;br /&gt;</t>
  </si>
  <si>
    <t>SOC-225</t>
  </si>
  <si>
    <t>Social Diversity</t>
  </si>
  <si>
    <t>This course provides a comparison of diverse roles, interests, opportunities, contributions, and experiences in social life. Topics include race, ethnicity, gender, sexual orientation, class, and religion. Upon completion, students should be able to analyze how cultural and ethnic differences evolve and how they affect personality development, values, and tolerance.&lt;br /&gt;
&lt;br /&gt;
&lt;i&gt;Note:  In accordance with the Comprehensive Articulation Agreement, this course has been approved to satisfy the general education requirement for social/behavioral sciences in A.A., A.S., and A.A.S. degree programs.&lt;/i&gt;&lt;br /&gt;&lt;br /&gt;</t>
  </si>
  <si>
    <t>SOC-240</t>
  </si>
  <si>
    <t>Social Psychology</t>
  </si>
  <si>
    <t>This course examines the influence of culture and social groups on individual behavior and personality. Emphasis is placed on the process of socialization, communication, conformity, deviance, interpersonal attraction, intimacy, race and ethnicity, small group experiences, and social movements. Upon completion, students should be able to identify and analyze cultural and social forces that influence the individual in a society.&lt;br /&gt;
&lt;br /&gt;
&lt;i&gt;Note: In accordance with the Comprehensive Articulation Agreement, this course has been approved to satisfy the general education requirement for social/behavioral sciences in A.A., A.S., and A.A.S. degree programs.&lt;/i&gt;&lt;br /&gt;&lt;br /&gt;</t>
  </si>
  <si>
    <t>SPA-111</t>
  </si>
  <si>
    <t>Elementary Spanish I</t>
  </si>
  <si>
    <t>Spanish (SPA)</t>
  </si>
  <si>
    <t>This course introduces the fundamental elements of the Spanish language within a cultural context. Emphasis is placed on the development of basic listening, speaking, reading, and writing skills. Upon completion, students should be able to comprehend and respond with grammatical accuracy to spoken and written Spanish and demonstrate cultural awareness.&lt;br /&gt;
&lt;br /&gt;
&lt;i&gt;Note:  In accordance with the Comprehensive Articulation Agreement, this course has been approved to satisfy the general education requirement for humanities/fine arts in A.A. and A.S. degree programs.&lt;/i&gt;&lt;br /&gt;&lt;br /&gt;</t>
  </si>
  <si>
    <t>SPA-112</t>
  </si>
  <si>
    <t>Elementary Spanish II</t>
  </si>
  <si>
    <t>This course is continuation of SPA 111 focusing on the fundamental elements of the Spanish language within a cultural context. Emphasis is placed on the progressive development of listening, speaking, reading, and writing skills. Upon completion, students should be able to comprehend and respond with increasing proficiency to spoken and written Spanish and demonstrate further cultural awareness.&lt;br /&gt;
&lt;br /&gt;
&lt;i&gt;Note:  In accordance with the Comprehensive Articulation Agreement, this course has been approved to satisfy the general education requirement for humanities/fine arts in A.A. and A.S. degree programs.&lt;/i&gt;&lt;br /&gt;&lt;br /&gt;</t>
  </si>
  <si>
    <t>SPA-211</t>
  </si>
  <si>
    <t>Intermediate Spanish I</t>
  </si>
  <si>
    <t>This course provides a review and expansion of the essential skills of the Spanish language. Emphasis is placed on the study of authentic and representative literary and cultural texts. Upon completion, students should be able to communicate effectively, accurately, and creatively about the past, present, and future.&lt;br /&gt;
&lt;br /&gt;
&lt;i&gt;Note:  In accordance with the Comprehensive Articulation Agreement, this course has been approved to satisfy the general education requirement for humanities/fine arts in A.A. and A.S. degree programs. This course is approved to meet the humanities/fine arts requirement in A.A.S. degree programs.&lt;/i&gt;&lt;br /&gt;&lt;br /&gt;</t>
  </si>
  <si>
    <t>SPA-212</t>
  </si>
  <si>
    <t>Intermediate Spanish II</t>
  </si>
  <si>
    <t>This course provides a continuation of SPA 211. Emphasis is placed on the continuing study of authentic and representative literary and cultural texts. Upon completion, students should be able to communicate spontaneously and accurately with increasing complexity and sophistication.&lt;br /&gt;
&lt;br /&gt;
&lt;i&gt;Note: In accordance with the Comprehensive Articulation Agreement, this course has been approved to satisfy the general education requirement for humanities/fine arts in A.A. and A.S. degree programs. This course is approved to meet the humanities/fine arts requirement in A.A.S. degree programs.&lt;/i&gt;&lt;br /&gt;&lt;br /&gt;</t>
  </si>
  <si>
    <t>SWK-110</t>
  </si>
  <si>
    <t>Introduction to Social Work</t>
  </si>
  <si>
    <t>Social Work (SWK)</t>
  </si>
  <si>
    <t>This course examines the historical development, values, orientation, and professional standards of social work and focuses on the terminology and broader systems of social welfare. Emphasis is placed on the various fields of practice including those agencies whose primary function is financial assistance, corrections, mental and behavioral health, and protective services. Upon completion, students should be able to demonstrate an understanding of the knowledge, values, and skills of the social work professional.&lt;br /&gt;&lt;br /&gt;</t>
  </si>
  <si>
    <t>SWK-113</t>
  </si>
  <si>
    <t>Cultural Competency &amp; Diversity</t>
  </si>
  <si>
    <t>This course examines and promotes understanding, sensitivity, awareness, and knowledge of various cultures and diversity. Emphasis is placed on professional responsibilities, duties, and skills critical to multicultural social services practice. Upon completion, students should be able to integrate and expand knowledge, skills, and cultural awareness relevant to diverse populations.&lt;br /&gt;&lt;br /&gt;</t>
  </si>
  <si>
    <t>SWK-115</t>
  </si>
  <si>
    <t>Community Resources</t>
  </si>
  <si>
    <t>This course introduces community resources essential to social work practice. Emphasis is placed on awareness of and interaction with community service personnel and stakeholders. Upon completion, students should be able to demonstrate the ability to assess critical community needs, identify resources and follow through with a plan of action for resolution.&lt;br /&gt;&lt;br /&gt;</t>
  </si>
  <si>
    <t>SWK-214</t>
  </si>
  <si>
    <t>Social Work Law</t>
  </si>
  <si>
    <t>This course introduces the major provisions of social services law, current trends, legislative developments, and court procedures. Emphasis is placed on the interpretation of the laws and court decisions related to various social services populations. Upon completion, students should be able to have a general understanding of these laws and how they apply to ethical practices within the field of social services.&lt;br /&gt;&lt;br /&gt;</t>
  </si>
  <si>
    <t>SWK-220</t>
  </si>
  <si>
    <t>Ethical Consideration in Social Work</t>
  </si>
  <si>
    <t>This course introduces the professional standards, values, and issues in social services. Topics include confidentiality, assessment of personal values, professional responsibilities, competencies, and ethics. Upon completion, students should be able to understand and discuss multiple ethical issues applicable to social work and apply various decision-making models to current issues.&lt;br /&gt;&lt;br /&gt;</t>
  </si>
  <si>
    <t>WBL-110</t>
  </si>
  <si>
    <t>World of Work</t>
  </si>
  <si>
    <t>Work-Based Learning (WBL)</t>
  </si>
  <si>
    <t>This course covers basic knowledge necessary for gaining and maintaining employment. Topics include job search skills, work ethic, meeting employer expectations, workplace safety, and human relations. Upon completion, students should be able to successfully make the transition from school to work.&lt;br /&gt;&lt;br /&gt;</t>
  </si>
  <si>
    <t>WBL-110A</t>
  </si>
  <si>
    <t>World of Work Lab</t>
  </si>
  <si>
    <t>This course provides a laboratory experience that covers the knowledge necessary for gaining and maintaining employment. Topics include job search and job interview skills, employment expectations, and employment preparation. Upon completion, students should be able to demonstrate how to successfully make the transition from postsecondary education to work.&lt;br /&gt;&lt;br /&gt;</t>
  </si>
  <si>
    <t>WBL-111</t>
  </si>
  <si>
    <t>Work-Based Learning I</t>
  </si>
  <si>
    <t>This course provides work-based learning experience with a college-approved employer in an area related to the student's program of study. Emphasis is placed on integrating classroom learning with related work experience. Upon completion, students should be able to evaluate career selection, demonstrate employability skills, and satisfactorily perform work-related competencies. &lt;br /&gt;&lt;br /&gt;</t>
  </si>
  <si>
    <t>WBL-115</t>
  </si>
  <si>
    <t>Work-Based Learning Seminar I</t>
  </si>
  <si>
    <t>This course provides an opportunity to discuss fieldwork experiences with peers and faculty. Emphasis is placed on discussing application of concepts and principles from related course content to the fieldwork placement. Upon completion, students should be able to demonstrate the knowledge, skills, and attitudes required in fieldwork experiences.&lt;br /&gt;&lt;br /&gt;</t>
  </si>
  <si>
    <t>WEB-140</t>
  </si>
  <si>
    <t>Web Development Tools</t>
  </si>
  <si>
    <t>Web Technologies (WEB)</t>
  </si>
  <si>
    <t>This course provides an introduction to web development tools. Topics include creating websites using web development tools and web standards. Upon completion, students should be able to create small web sites and upload files to a web server. &lt;br /&gt;&lt;br /&gt;</t>
  </si>
  <si>
    <t>WEB-141</t>
  </si>
  <si>
    <t>Mobile Interface Design</t>
  </si>
  <si>
    <t>This course covers current design standards and emerging approaches related to the design and development of user interfaces for mobile devices. Emphasis is placed on research and evaluation of standard and emerging practices for effective interface and user experience design. Upon completion, students should be able to design effective and usable interfaces for mobile devices.&lt;br /&gt;&lt;br /&gt;</t>
  </si>
  <si>
    <t>WEB-250</t>
  </si>
  <si>
    <t>Database Driven Websites</t>
  </si>
  <si>
    <t>This course introduces dynamic (database-driven) website development. Topics include the use of basic database CRUD statements (create, read, update and delete) incorporated into web applications, as well as in software architecture principles. Upon completion, students should be able to design and develop database-driven web applications according to industry standards. &lt;br /&gt;&lt;br /&gt;</t>
  </si>
  <si>
    <t>Timing</t>
  </si>
  <si>
    <t>Requisite Specification</t>
  </si>
  <si>
    <t>Prerequisite</t>
  </si>
  <si>
    <t>Student must have credit for [[ACC-120]] with a minimum grade of "C".</t>
  </si>
  <si>
    <t>Student must have credit for one of the following courses:  [[ACC-115]] or [[ACC-120]]</t>
  </si>
  <si>
    <t>Student must have credit for the following course:  [[ACC-120]]</t>
  </si>
  <si>
    <t>Student must have credit for [[ACC-220]] with a minimum grade of "C".</t>
  </si>
  <si>
    <t>Student must have credit for [[ACC-121]] with a minimum grade of "C".</t>
  </si>
  <si>
    <t>Student must have credit for one of the following courses:  [[AHR-110]] or [[AHR-113]]</t>
  </si>
  <si>
    <t>Student must have credit for the following course:  [[AHR-110]]</t>
  </si>
  <si>
    <t>Student must have credit for one of the following courses:  [[AHR-111]], [[ELC-111]], or [[ELC-112]]</t>
  </si>
  <si>
    <t>Student must have credit for the following course:  [[AHR-114]]</t>
  </si>
  <si>
    <t>Student must have credit for the following course:  [[ART-240]]</t>
  </si>
  <si>
    <t>Student must have credit for the following course:  [[ART-283]]</t>
  </si>
  <si>
    <t>Student must have credit for the following course:  [[ASL-111]]</t>
  </si>
  <si>
    <t>Student must have credit for the following course:  [[ASL-112]]</t>
  </si>
  <si>
    <t>Student must have credit for the following course:  [[ASL-211]]</t>
  </si>
  <si>
    <t>Corequisite</t>
  </si>
  <si>
    <t>Student must take the following course along with this course:  [[AST-111A]]</t>
  </si>
  <si>
    <t>Student must take the following course along with this course:  [[AST-111]]</t>
  </si>
  <si>
    <t>Student must have credit for the following course:  [[ELN-260]]</t>
  </si>
  <si>
    <t>Student must have credit for one of the following courses:  [[ELC-128]] or [[ELN-260]]</t>
  </si>
  <si>
    <t>Student must have credit for the following course:  [[BIO-111]]</t>
  </si>
  <si>
    <t>Student must take the following course along with this course:  [[BIO-140A]]</t>
  </si>
  <si>
    <t>Student must take the following course along with this course:  [[BIO-140]]</t>
  </si>
  <si>
    <t>Student must have credit for the following course:  [[BIO-165]]</t>
  </si>
  <si>
    <t>Student must have credit for one of the following courses:  [[BIO-111]], [[BIO-163]], [[BIO-165]], or [[BIO-168]]</t>
  </si>
  <si>
    <t>BUS-116</t>
  </si>
  <si>
    <t>Student must have credit for the following course:  [[BUS-115]]</t>
  </si>
  <si>
    <t>Student must have credit for the following courses:  [[ACC-120]], [[BUS-115]], [[BUS-137]], and [[MKT-120]]&lt;br /&gt;
Sutdent must have credit for one of the following courses:  [[ECO-251]] or [[ECO-252]]</t>
  </si>
  <si>
    <t>Student must take the following course along with this course:  [[CHM-131A]]</t>
  </si>
  <si>
    <t>Student must take the following course along with this course:  [[CHM-131]]</t>
  </si>
  <si>
    <t>Student must take one of the following Math courses along with this course:  [[MAT-143]], [[MAT-152]], [[MAT-171]], or [[MAT-271]]</t>
  </si>
  <si>
    <t>Student must have credit for the following course:  [[CHM-151]]</t>
  </si>
  <si>
    <t>Student must have credit for the following course:  [[CHM-152]]</t>
  </si>
  <si>
    <t>Student must have credit for the following course:  [[CHM-251]]</t>
  </si>
  <si>
    <t>Student must have credit for one of the following Mathcourses:  [[MAT-025]]</t>
  </si>
  <si>
    <t>Student must have credit for one of the following Math courses:  [[MAT-025]]</t>
  </si>
  <si>
    <t>Student must have credit for the following course:  [[CIS-115]]</t>
  </si>
  <si>
    <t>Student must have credit for the following course:  [[CIS-151]]</t>
  </si>
  <si>
    <t>Student must have credit for one of the following English courses: [[ENG-025]]</t>
  </si>
  <si>
    <t>Student must have credit for one of the following English courses:  [[ENG-025]]&lt;br /&gt;
Student must have credit for one of the following Math courses:  [[MAT-025]]</t>
  </si>
  <si>
    <t>Student must have credit for the following course:  [[CTS-120]]</t>
  </si>
  <si>
    <t>Student must have credit for the following courses and permission of IT lead instructor:  [[CTI-110]], [[CTI-120]], and [[CTS-115]]</t>
  </si>
  <si>
    <t>Student must have credit for one of the following courses:  [[CIS-110]], [[CIS-111]], [[CTI-110]], or [[OST-136]]</t>
  </si>
  <si>
    <t>Student must have credit for the following course:  [[CTI-110]]</t>
  </si>
  <si>
    <t>Student must have credit for one of the following English courses:  [[ENG-025]]&lt;br /&gt;
Student must have credit for one of the following Math courses:  [[MAT-035]]</t>
  </si>
  <si>
    <t>Student must have credit for the following course:  [[EDU-119]]</t>
  </si>
  <si>
    <t>Student must have credit for the following courses:  [[EDU-144]] and [[EDU-145]]</t>
  </si>
  <si>
    <t>Student must have credit for [[ENG-111]] and one of the following Math courses:  [[MAT-143]], [[MAT-152]], or [[MAT-171]]</t>
  </si>
  <si>
    <t>Student must take the following course along with this course:  [[EDU-119]]</t>
  </si>
  <si>
    <t>Student must have credit for the following courses:  [[EDU-119]] and [[EDU-261]]</t>
  </si>
  <si>
    <t>Student must have credit for the following courses:  [[EDU-119]], [[EDU-144]], [[EDU-145]], [[EDU-146]], and [[EDU-151]]</t>
  </si>
  <si>
    <t>Student must have credit for one of the following Math courses:  [[MAT-035]]</t>
  </si>
  <si>
    <t>Student must have credit for one of the following courses:  [[MAT-171]]</t>
  </si>
  <si>
    <t>Student must have credit for the following courses:  [[ELN-131]], [[ELN-133]], and [[ELN-260]]</t>
  </si>
  <si>
    <t>Student must have credit for one of the following courses:  [[MAT-035]]</t>
  </si>
  <si>
    <t>Student must have credit for one of the following courses:  [[ELC-112]] or [[ELC-131]]</t>
  </si>
  <si>
    <t>Student must have credit for the following course:  [[ELC-131]]</t>
  </si>
  <si>
    <t>Student must have credit for the following course:  [[ELN-133]]</t>
  </si>
  <si>
    <t>Student must have credit for the following courses:  [[BIO-163]], [[EMS-110]], [[ENG-111]] or appropriate test score, and [[MAT-143]] or appropriate test score</t>
  </si>
  <si>
    <t>Student must have credit for the following courses:  [[EMS-110]], [[ENG-111]] or appropriate test score, and [[MAT-143]] or appropriate test score</t>
  </si>
  <si>
    <t>Student must have credit for the following courses:  [[EMS-122]], [[EMS-130]], and [[EMS-160]]</t>
  </si>
  <si>
    <t>Student must have credit for one of the following courses:  [[EMS-121]] or [[EMS-122]]</t>
  </si>
  <si>
    <t>Student must have credit for the following course:  [[EMS-221]]</t>
  </si>
  <si>
    <t>Student must have credit for the following courses:  [[EMS-122]] and [[EMS-130]]</t>
  </si>
  <si>
    <t>Student must have credit for the following course:  [[EMS-231]]</t>
  </si>
  <si>
    <t>Student must have credit for the following courses:  [[EMS-220]], [[EMS-250]], and [[EMS-260]]</t>
  </si>
  <si>
    <t>Student must have credit for the following English course:  [[ENG-025]]</t>
  </si>
  <si>
    <t>Student must have credit for the following course with a Minimum Grade of C:  [[ENG-111]]</t>
  </si>
  <si>
    <t>Student must have credit for one of the following courses:  [[ENG-112]] or [[ENG-114]]</t>
  </si>
  <si>
    <t>Student must have credit for one of the following English courses:  DRE-098, RED-090 and ENG-090, ENG-002, BSP-4002, ENG-011, [[ENG-025]], or [[ENG-111]]&lt;br /&gt;
Student must have credit for one of the following Math courses:  DMA 010-080, MAT-080, MAT-003 Tier 3, BSP-4003 Tier 3, MAT-071, [[MAT-035]], or [[MAT-171]]</t>
  </si>
  <si>
    <t>Student must have credit for the following course:  [[EUS-110]]&lt;br /&gt;
Student must have credit for one of the following courses:  [[ELC-112]] or [[ELC-131]]</t>
  </si>
  <si>
    <t>Student must have credit for the following course:  [[EUS-110]]</t>
  </si>
  <si>
    <t>Student must have credit for the following course:  [[EUS-210]]</t>
  </si>
  <si>
    <t>Student must have credit for the following course:  [[EUS-130]]&lt;br /&gt;
Student must have credit for one of the following courses:  [[ELC-117]] or [[ELN-231]]</t>
  </si>
  <si>
    <t>Student must have credit for the following courses:  [[EUS-110]] and [[EUS-130]]</t>
  </si>
  <si>
    <t>Student must have credit for the following course:  [[EUS-130]]</t>
  </si>
  <si>
    <t>Student must have credit for the following course:  [[EUS-230]]</t>
  </si>
  <si>
    <t>Student must take the following course along with this course:  [[EUS-235]]</t>
  </si>
  <si>
    <t>Student must have credit for the following courses:  [[EUS-215]] and [[EUS-230]]</t>
  </si>
  <si>
    <t>Student must have credit for the following course:  [[EUS-215]]</t>
  </si>
  <si>
    <t>Student must have credit for the following course:  [[MED-121]]</t>
  </si>
  <si>
    <t>Student must have credit for the following courses:  [[ACC-120]] and [[HMT-110]]</t>
  </si>
  <si>
    <t>Student must take the following course along with this course:  [[HMT-220]]</t>
  </si>
  <si>
    <t>Student must have credit for the following course:  [[HMT-210]]</t>
  </si>
  <si>
    <t>Student must have credit for or take the following courses along with this course:  [[BIO-165]], [[BIO-166]], [[CIS-110]], [[ENG-111]], [[ENG-112]], [[HSC-140]], [[HUM-115]], [[NAS-101]], [[NAS-102]], [[PSY-150]], and [[SOC-210]]</t>
  </si>
  <si>
    <t>Student must have credit for the following Math course with a Minimum Grade of C:  [[MAT-171]]</t>
  </si>
  <si>
    <t>Student must have credit for the following Math course with a Minimum Grade of C:  [[MAT-172]]</t>
  </si>
  <si>
    <t>Student must have credit for the following Math course with a Minimum Grade of C:  [[MAT-271]]</t>
  </si>
  <si>
    <t>Student must have credit for the following Math course with a Minimum Grade of C:  [[MAT-272]]</t>
  </si>
  <si>
    <t>Student must take the following course along with this course and be enrolled in Medical Assisting program:  [[MED-130]]</t>
  </si>
  <si>
    <t>Student must have credit for one of the following English courses and be enrolled in Medical Assisting program:  [[ENG-025]] or [[ENG-111]]&lt;br /&gt;
Student must have credit for one of the following Math courses and be enrolled in Medical Assisting program:  [[MAT-025]] or [[MAT-035]]</t>
  </si>
  <si>
    <t>Student must have credit for the following courses:  [[MED-110]], [[MED-118]], [[MED-121]], and [[MED-130]]</t>
  </si>
  <si>
    <t>Student must have credit for the following course and be enrolled in Medical Assisting program:  [[MED-140]]</t>
  </si>
  <si>
    <t>Student must have credit for one of the following English courses:  [[ENG-025]] or [[ENG-111]]</t>
  </si>
  <si>
    <t>Student must take the following course along with this course:  [[MED-110]]</t>
  </si>
  <si>
    <t>Student must have credit for one of the following English courses and be enrolled in Medical Assisting program:  [[ENG-025]] or [[ENG-111]]</t>
  </si>
  <si>
    <t>Student must take the following course along with this course:  [[MED-232]]</t>
  </si>
  <si>
    <t>Student must have credit for the following course:  [[MED-130]]</t>
  </si>
  <si>
    <t>Student must have credit for the following courses:  [[BIO-163]], [[MED-121]], and [[MED-122]]</t>
  </si>
  <si>
    <t>Student must have credit for the following course:  [[MED-140]]</t>
  </si>
  <si>
    <t>Student must take the following course along with this course:  [[MED-131]]</t>
  </si>
  <si>
    <t>Student must have credit for the following courses:  [[MED-112]], [[MED-114]], [[MED-150]], [[MED-232]], [[MED-270]], and [[MED-272]]</t>
  </si>
  <si>
    <t>Student must take the following course along with this course:  [[MED-260]]</t>
  </si>
  <si>
    <t>Student must have credit for the following courses and be enrolled in Medical Assisting program:  [[MED-122]] and [[MED-131]]</t>
  </si>
  <si>
    <t>Student must have credit for the following courses and be enrolled in Medical Assisting program:  [[MAT-143]] and [[MED-140]]</t>
  </si>
  <si>
    <t>Student must have credit for the following course:  [[MKT-120]]</t>
  </si>
  <si>
    <t>Student must take one of the following courses along with this course:  [[ELC-128]] or [[ELN-260]]</t>
  </si>
  <si>
    <t>Student must have credit for the following course:  [[MUS-131]]</t>
  </si>
  <si>
    <t>Student must have credit for the following course:  [[CTI-120]]</t>
  </si>
  <si>
    <t>Student must have credit for one of the following courses:  [[CTS-120]] or [[NOS-130]]</t>
  </si>
  <si>
    <t>Student must have credit for one of the following English courses:  [[ENG-025]]</t>
  </si>
  <si>
    <t>Student must have credit for the following course:  [[NOS-130]]</t>
  </si>
  <si>
    <t>Student must take the following course along with this course:  [[BIO-165]]</t>
  </si>
  <si>
    <t>Student must be admitted to the Practical Nursing program.</t>
  </si>
  <si>
    <t>Student must take the following course along with this course:  [[BIO-166]]</t>
  </si>
  <si>
    <t>Student must have credit for the following course:  [[NUR-101]]</t>
  </si>
  <si>
    <t>Student must have credit for the following course:  [[NUR-102]]</t>
  </si>
  <si>
    <t>Student must take the following courses along with this course:  [[BIO-165]], [[BIO-166]], [[ENG-111]], [[ENG-112]], [[MAT-143]], [[PSY-150]], [[SOC-210]], Humanities/Fine Arts Elective, and Admission to the Associate Degree Nursing program</t>
  </si>
  <si>
    <t>Student must take the following courses along with this course:  [[NUR-114]]</t>
  </si>
  <si>
    <t>Student must have credit for the following course:  [[NUR-111]]</t>
  </si>
  <si>
    <t>Student must have credit for the following courses:  &lt;br /&gt;
Take one set:  [[BIO-163]] or [[BIO-165]] and [[BIO-166]]. &lt;br /&gt;
Take all:  [[BIO-275]], [[ENG-111]], [[ENG-112]], [[HUM-115]], [[MAT-143]], [[NUR-111]], [[NUR-112]], [[NUR-114]], [[PSY-150]], [[PSY-241]]</t>
  </si>
  <si>
    <t>Student must take the following courses along with this course:  [[NUR-112]]</t>
  </si>
  <si>
    <t>Student must take the following courses along with this course:  [[NUR-212]]</t>
  </si>
  <si>
    <t>Student must have credit for the following courses:  [[NUR-111]], [[NUR-112]], [[NUR-113]], and [[NUR-114]]</t>
  </si>
  <si>
    <t>Student must take the following courses along with this course:  [[NUR-211]]</t>
  </si>
  <si>
    <t>Student must have credit for the following courses: [[NUR-111]], [[NUR-112]], [[NUR-113]], and [[NUR-114]]</t>
  </si>
  <si>
    <t>Student must have credit for the following courses:  [[NUR-111]], [[NUR-112]], [[NUR-113]], [[NUR-114]], [[NUR-211]], and [[NUR-212]]</t>
  </si>
  <si>
    <t>Student must have credit for the following course:  [[ENG-111]]</t>
  </si>
  <si>
    <t>Student must take the following course along with this course:  [[PHY-110A]]</t>
  </si>
  <si>
    <t>Student must take the following course along with this course:  [[PHY-110]]</t>
  </si>
  <si>
    <t>Student must have credit for one of the following courses:  [[MAT-121]] or [[MAT-171]]</t>
  </si>
  <si>
    <t>Student must have credit for one of the following courses:  [[MAT-171]] or [[MAT-271]]</t>
  </si>
  <si>
    <t>Student must have credit for the following course:  [[PHY-151]]</t>
  </si>
  <si>
    <t>Student must have credit for the following course:  [[MAT-271]]</t>
  </si>
  <si>
    <t>Student must have credit for the following courses:  [[MAT-272]] and [[PHY-251]]</t>
  </si>
  <si>
    <t>Student must have credit for the following course:  [[PSY-150]]</t>
  </si>
  <si>
    <t>Student must have credit for the following course:  [[SEC-110]]</t>
  </si>
  <si>
    <t>Student must have credit for the following course:  [[SPA-111]]</t>
  </si>
  <si>
    <t>Student must have credit for the following course:  [[SPA-112]]</t>
  </si>
  <si>
    <t>Student must have credit for the following course:  [[SPA-211]]</t>
  </si>
  <si>
    <t>Student must take the following course along with this course:  [[WBL-110]]</t>
  </si>
  <si>
    <t>Student must take the following course along with this course:  [[WBL-115]]</t>
  </si>
  <si>
    <t>Student must have completed 9 or 14 SHC in the major core courses depending on program.</t>
  </si>
  <si>
    <t>Student must take the following course along with this course:  [[WBL-111]]</t>
  </si>
  <si>
    <t>Student must take the following courses along with this course:  [[DBA-110]] and [[WEB-140]], or [[DBA-120]]</t>
  </si>
  <si>
    <t>Curriculum Program Group Code</t>
  </si>
  <si>
    <t>Total Credit Hours</t>
  </si>
  <si>
    <t>Credential Level</t>
  </si>
  <si>
    <t>Program Credential Title</t>
  </si>
  <si>
    <t>Photo Links</t>
  </si>
  <si>
    <t>Cost In State</t>
  </si>
  <si>
    <t>911_Call_Center_2_website.jpg</t>
  </si>
  <si>
    <t>911_Call_Center_3_website.jpg</t>
  </si>
  <si>
    <t>60-61</t>
  </si>
  <si>
    <t xml:space="preserve">Associate in Arts </t>
  </si>
  <si>
    <t xml:space="preserve">Associate in Arts-Teacher Preparation </t>
  </si>
  <si>
    <t>Associate_General_Education_Nursing.jpg</t>
  </si>
  <si>
    <t xml:space="preserve">Associate in Science </t>
  </si>
  <si>
    <t>Associate_in_Science_Website.jpg</t>
  </si>
  <si>
    <t xml:space="preserve">RichmondCC – Wingate University Pre-Pharmacy Pathway </t>
  </si>
  <si>
    <t xml:space="preserve">Associate in Science-Teacher Preparation </t>
  </si>
  <si>
    <t>Associate_in_Science_TeacherPrep_website.jpg</t>
  </si>
  <si>
    <r>
      <rPr>
        <sz val="11"/>
        <color rgb="FF000000"/>
        <rFont val="Calibri"/>
      </rPr>
      <t xml:space="preserve">Associate in Engineering </t>
    </r>
    <r>
      <rPr>
        <sz val="11"/>
        <color rgb="FFFF0000"/>
        <rFont val="Calibri"/>
      </rPr>
      <t>- Teach-Out; Ends 2026Sp</t>
    </r>
  </si>
  <si>
    <r>
      <rPr>
        <sz val="11"/>
        <color rgb="FF000000"/>
        <rFont val="Calibri"/>
      </rPr>
      <t>Associate in Fine Arts in Visual Arts</t>
    </r>
    <r>
      <rPr>
        <sz val="11"/>
        <color rgb="FFFF0000"/>
        <rFont val="Calibri"/>
      </rPr>
      <t xml:space="preserve"> - Teach-Out; Ends 2026Sp</t>
    </r>
  </si>
  <si>
    <t>Associate_in_Fine_Visual_Art_Website.jpg</t>
  </si>
  <si>
    <t>68-69</t>
  </si>
  <si>
    <t xml:space="preserve">Business Administration:  General Business </t>
  </si>
  <si>
    <t>66-67</t>
  </si>
  <si>
    <t xml:space="preserve">Business Administration:  Marketing </t>
  </si>
  <si>
    <t>Business_Marketing_website_1.jpg</t>
  </si>
  <si>
    <t xml:space="preserve">Business Administration </t>
  </si>
  <si>
    <t>Business_Admin_Website_2.jpg</t>
  </si>
  <si>
    <t>Business Administration:  Human Resources</t>
  </si>
  <si>
    <t>Business_Admin_Human_Resources_Website_1.jpg</t>
  </si>
  <si>
    <t>Business_Admin_Marketing_website_2.jpg</t>
  </si>
  <si>
    <t xml:space="preserve">Business Administration:  Entrepreneurship </t>
  </si>
  <si>
    <t>Business_Entrpreneurship_website_1.jpg</t>
  </si>
  <si>
    <t>Healthcare Management </t>
  </si>
  <si>
    <t>67-68</t>
  </si>
  <si>
    <t xml:space="preserve">Healthcare Management Technology </t>
  </si>
  <si>
    <t>Healthcare_Management_website_1.jpg</t>
  </si>
  <si>
    <t>Healthcare_Management_website_2.jpg</t>
  </si>
  <si>
    <t>67-69</t>
  </si>
  <si>
    <t>A25370</t>
  </si>
  <si>
    <r>
      <rPr>
        <sz val="11"/>
        <color rgb="FF000000"/>
        <rFont val="Calibri"/>
      </rPr>
      <t xml:space="preserve">Office Administration </t>
    </r>
    <r>
      <rPr>
        <sz val="11"/>
        <color rgb="FFFF0000"/>
        <rFont val="Calibri"/>
      </rPr>
      <t>- Teach-Out; Ends 2025Su</t>
    </r>
  </si>
  <si>
    <t>C25370R</t>
  </si>
  <si>
    <t>Office_Administration_website_2.png</t>
  </si>
  <si>
    <t>C25370MS</t>
  </si>
  <si>
    <r>
      <rPr>
        <sz val="11"/>
        <color rgb="FF000000"/>
        <rFont val="Calibri"/>
      </rPr>
      <t xml:space="preserve">Office Administration:  Microsoft Office </t>
    </r>
    <r>
      <rPr>
        <sz val="11"/>
        <color rgb="FFFF0000"/>
        <rFont val="Calibri"/>
      </rPr>
      <t xml:space="preserve"> - Teach-Out; Ends 2025Su</t>
    </r>
  </si>
  <si>
    <t>Office_administration_Website_1.png</t>
  </si>
  <si>
    <t>64-65</t>
  </si>
  <si>
    <t xml:space="preserve">Information Technology:  Information Technology Support </t>
  </si>
  <si>
    <t>information_technology_website1.jpg</t>
  </si>
  <si>
    <t xml:space="preserve">Information Technology:  Software and Web Development </t>
  </si>
  <si>
    <t>IT_Software_Web_Development_Website_2.jpg</t>
  </si>
  <si>
    <t xml:space="preserve">Information Technology:  Information Technology Support-Healthcare </t>
  </si>
  <si>
    <t>IT_Support_Healthcare_website_2.jpg</t>
  </si>
  <si>
    <t>IT_Support_Website_2.jpg</t>
  </si>
  <si>
    <t>IT_Software_Web_Development_Specialist_Website_1.jpg</t>
  </si>
  <si>
    <t>Health_Information_Tech_website.jpg</t>
  </si>
  <si>
    <t xml:space="preserve">Information Technology:  Entry Level Computer Technician </t>
  </si>
  <si>
    <t>Entry_level_Computer_technician_website_1.jpg</t>
  </si>
  <si>
    <t xml:space="preserve">Information Technology:  A+ Prep </t>
  </si>
  <si>
    <t>information_Technology_A+Prep_Website.jpg</t>
  </si>
  <si>
    <t xml:space="preserve">Information Technology:  Web Development Specialist </t>
  </si>
  <si>
    <t>IT_Web_Development_Specialist_Website_1.jpg</t>
  </si>
  <si>
    <t xml:space="preserve">Information Technology:  Computer Programming Specialist </t>
  </si>
  <si>
    <t>IT_Computer Program Specialist_website_1.jpg</t>
  </si>
  <si>
    <t xml:space="preserve">Information Technology:  Mobile Applications Development Specialist </t>
  </si>
  <si>
    <t>IT_Mobile_Applications Development Specialist_website_1.jpg</t>
  </si>
  <si>
    <t xml:space="preserve">Information Technology:  Network Management </t>
  </si>
  <si>
    <t>IT_Network.jpg</t>
  </si>
  <si>
    <t xml:space="preserve">Information Technology:  Network+ Prep </t>
  </si>
  <si>
    <t>IT_Network+_Prep_website_1.jpg</t>
  </si>
  <si>
    <t xml:space="preserve">Information Technology:  Cyber Security </t>
  </si>
  <si>
    <t>IT_cyber_security_technician_website_1.jpg</t>
  </si>
  <si>
    <t>IT_Cyber_Security_Website_2.jpg</t>
  </si>
  <si>
    <t xml:space="preserve">Information Technology:  Cyber Security Technician </t>
  </si>
  <si>
    <t>IT_cyber_security_website_3.jpg</t>
  </si>
  <si>
    <t xml:space="preserve">Information Technology:  Security+ Prep </t>
  </si>
  <si>
    <t>IT_Security+_Prep_website_1.jpg</t>
  </si>
  <si>
    <t>66-69</t>
  </si>
  <si>
    <t xml:space="preserve">Accounting and Finance </t>
  </si>
  <si>
    <t>17-18</t>
  </si>
  <si>
    <t xml:space="preserve">Accounting and Finance:  Accounting Specialist </t>
  </si>
  <si>
    <t>Accounting_Specialist_website_1.jpg</t>
  </si>
  <si>
    <t xml:space="preserve">Accounting and Finance:  Accounting/Bookkeeper </t>
  </si>
  <si>
    <t>Accounting_Bookkeeper_website_1.jpg</t>
  </si>
  <si>
    <t xml:space="preserve">Accounting and Finance:  Payroll Accountant Specialist </t>
  </si>
  <si>
    <t>Payroll_Accountant_Specialist_website_1.jpg</t>
  </si>
  <si>
    <t xml:space="preserve">Accounting and Finance:  Tax Preparer </t>
  </si>
  <si>
    <t>Tax_Preparer_website_1.jpg</t>
  </si>
  <si>
    <t xml:space="preserve">Air Conditioning, Heating, and Refrigeration Technology </t>
  </si>
  <si>
    <t>HVAC_1_website.jpg</t>
  </si>
  <si>
    <t>HVAC_website_2.jpg</t>
  </si>
  <si>
    <t xml:space="preserve">Air Conditioning, Heating, and Refrigeration Technology:  Air Conditioning </t>
  </si>
  <si>
    <t>HVACR_website3.jpg</t>
  </si>
  <si>
    <t xml:space="preserve">Air Conditioning, Heating, and Refrigeration Technology:  Heating </t>
  </si>
  <si>
    <r>
      <rPr>
        <sz val="11"/>
        <color rgb="FF000000"/>
        <rFont val="Calibri"/>
      </rPr>
      <t>Computer Engineering Technology</t>
    </r>
    <r>
      <rPr>
        <sz val="11"/>
        <color rgb="FFFF0000"/>
        <rFont val="Calibri"/>
      </rPr>
      <t xml:space="preserve"> - Teach-Out; Ends 2026Sp</t>
    </r>
  </si>
  <si>
    <r>
      <rPr>
        <sz val="11"/>
        <color rgb="FF000000"/>
        <rFont val="Calibri"/>
      </rPr>
      <t xml:space="preserve">Computer Engineering Technology </t>
    </r>
    <r>
      <rPr>
        <sz val="11"/>
        <color rgb="FFFF0000"/>
        <rFont val="Calibri"/>
      </rPr>
      <t>- Teach-Out; Ends 2026Sp</t>
    </r>
  </si>
  <si>
    <t>Computer_Engineering2_website.jpg</t>
  </si>
  <si>
    <t>72-73</t>
  </si>
  <si>
    <t xml:space="preserve">Mechatronics Engineering </t>
  </si>
  <si>
    <t>Mechatronics_website.jpg</t>
  </si>
  <si>
    <t xml:space="preserve">Mechatronics Engineering Technology </t>
  </si>
  <si>
    <t xml:space="preserve">Associate Degree Nursing </t>
  </si>
  <si>
    <t>68-73</t>
  </si>
  <si>
    <t xml:space="preserve">Emergency Medical Science </t>
  </si>
  <si>
    <t>70-74</t>
  </si>
  <si>
    <t>Emergency Medical Science Bridging Program</t>
  </si>
  <si>
    <t>Social and Human Services Technology</t>
  </si>
  <si>
    <t>A45380</t>
  </si>
  <si>
    <t xml:space="preserve">Social and Human Services Technology </t>
  </si>
  <si>
    <t>Human Services Technology</t>
  </si>
  <si>
    <t>C45380Y</t>
  </si>
  <si>
    <r>
      <rPr>
        <sz val="11"/>
        <color rgb="FFFF0000"/>
        <rFont val="Calibri"/>
      </rPr>
      <t xml:space="preserve">Terminated - </t>
    </r>
    <r>
      <rPr>
        <sz val="11"/>
        <color rgb="FF000000"/>
        <rFont val="Calibri"/>
      </rPr>
      <t xml:space="preserve">Human Services Technology:  At-Risk Youth Technician </t>
    </r>
  </si>
  <si>
    <t>Human_Services_At_risk_youth_website.jpg</t>
  </si>
  <si>
    <t>C45380G</t>
  </si>
  <si>
    <r>
      <rPr>
        <sz val="11"/>
        <color rgb="FFFF0000"/>
        <rFont val="Calibri"/>
      </rPr>
      <t xml:space="preserve">Terminated - </t>
    </r>
    <r>
      <rPr>
        <sz val="11"/>
        <color rgb="FF000000"/>
        <rFont val="Calibri"/>
      </rPr>
      <t xml:space="preserve">Human Services Technology:  Social Gerontology </t>
    </r>
  </si>
  <si>
    <t>Human_Services_gerontology.jpg</t>
  </si>
  <si>
    <t>Social and Human Services Technology:  Social Services</t>
  </si>
  <si>
    <t>Human_Services_website_3.jpg</t>
  </si>
  <si>
    <t>Social and Human Services Technology:  Addiction and Recovery Studies</t>
  </si>
  <si>
    <t>Human_Services_addiction_recov2_website.jpg</t>
  </si>
  <si>
    <t>Social and Human Services Technology:  Child Advocacy Studies</t>
  </si>
  <si>
    <t>Children_Hugging.jpg</t>
  </si>
  <si>
    <t>Child_Advocacy_Studies.jpg</t>
  </si>
  <si>
    <t>Social and Human Services Technology:  General Social and Human Services</t>
  </si>
  <si>
    <t>Human_Services_website_4.jpg</t>
  </si>
  <si>
    <t>Social and Human Services Technology:  Mental Health</t>
  </si>
  <si>
    <t>Mental_Health_1.jpg</t>
  </si>
  <si>
    <t>Mental_Health_2.jpg</t>
  </si>
  <si>
    <r>
      <rPr>
        <sz val="11"/>
        <color rgb="FF000000"/>
        <rFont val="Calibri"/>
      </rPr>
      <t xml:space="preserve">Medical Assisting </t>
    </r>
    <r>
      <rPr>
        <sz val="11"/>
        <color rgb="FFFF0000"/>
        <rFont val="Calibri"/>
      </rPr>
      <t>- Teach-Out; Ends 2026Su</t>
    </r>
  </si>
  <si>
    <r>
      <rPr>
        <sz val="11"/>
        <color rgb="FF000000"/>
        <rFont val="Calibri"/>
      </rPr>
      <t xml:space="preserve">Medical Assisting </t>
    </r>
    <r>
      <rPr>
        <sz val="11"/>
        <color rgb="FFFF0000"/>
        <rFont val="Calibri"/>
      </rPr>
      <t xml:space="preserve"> - Teach-Out; Ends 2026Su</t>
    </r>
  </si>
  <si>
    <t>Medical Assisting_2_website.jpg</t>
  </si>
  <si>
    <t xml:space="preserve">Practical Nursing </t>
  </si>
  <si>
    <t>Practical_Nursing_website.jgp</t>
  </si>
  <si>
    <t>45970</t>
  </si>
  <si>
    <t>Nursing Assistant - Pre-Nursing </t>
  </si>
  <si>
    <t>D45970</t>
  </si>
  <si>
    <r>
      <rPr>
        <sz val="11"/>
        <color rgb="FFFF0000"/>
        <rFont val="Calibri"/>
      </rPr>
      <t xml:space="preserve">Terminated - </t>
    </r>
    <r>
      <rPr>
        <sz val="11"/>
        <color rgb="FF000000"/>
        <rFont val="Calibri"/>
      </rPr>
      <t xml:space="preserve">Therapeutic &amp; Diagnostic Services:  Nurse Aide </t>
    </r>
  </si>
  <si>
    <t>C45970</t>
  </si>
  <si>
    <t>71-73</t>
  </si>
  <si>
    <t xml:space="preserve">Electric Utility Substation and Relay Technology </t>
  </si>
  <si>
    <t>EUSRT_2_website.jpg</t>
  </si>
  <si>
    <t>37-39</t>
  </si>
  <si>
    <t xml:space="preserve">Electric Utility Transformer Test Specialist </t>
  </si>
  <si>
    <t>EUSRT_3_website.jpg</t>
  </si>
  <si>
    <t xml:space="preserve">Electric Utility Substation and Relay Technology:  Basic Power Systems </t>
  </si>
  <si>
    <t>64-66</t>
  </si>
  <si>
    <t xml:space="preserve">Criminal Justice Technology </t>
  </si>
  <si>
    <t>Criminal Justice 1.png</t>
  </si>
  <si>
    <t>43-44</t>
  </si>
  <si>
    <t>Criminal Justice 2.png</t>
  </si>
  <si>
    <t xml:space="preserve">Criminal Justice Technology:  Corrections </t>
  </si>
  <si>
    <t>Criminal Justice Probation Officer Speakers.png</t>
  </si>
  <si>
    <t xml:space="preserve">Criminal Justice Technology:  Juvenile Justice </t>
  </si>
  <si>
    <t>Criminal_Justice_Website.png</t>
  </si>
  <si>
    <t xml:space="preserve">Criminal Justice Technology:  Law Enforcement </t>
  </si>
  <si>
    <t>Criminal_Justice.png</t>
  </si>
  <si>
    <t xml:space="preserve">Early Childhood Education:  Career Track </t>
  </si>
  <si>
    <t>Early_Childhood_Education_1.jpg</t>
  </si>
  <si>
    <t xml:space="preserve">Early Childhood Education:  Licensure Transfer Track </t>
  </si>
  <si>
    <t xml:space="preserve">Early Childhood Education:  Non-Licensure Transfer Track </t>
  </si>
  <si>
    <t>D55220</t>
  </si>
  <si>
    <t xml:space="preserve">Early Childhood Education:  Special Education </t>
  </si>
  <si>
    <t>ECE_website_special_ed.jpg</t>
  </si>
  <si>
    <t xml:space="preserve">Early Childhood Education </t>
  </si>
  <si>
    <t xml:space="preserve">Infant/Toddler Care </t>
  </si>
  <si>
    <t>ECE_website_5.jpg</t>
  </si>
  <si>
    <t xml:space="preserve">Early Childhood Administration </t>
  </si>
  <si>
    <t>ECE_website_7.jpg</t>
  </si>
  <si>
    <t xml:space="preserve">Early Childhood Preschool </t>
  </si>
  <si>
    <t>ECE_website_3.jpg</t>
  </si>
  <si>
    <t>Machining II</t>
  </si>
  <si>
    <t>Title</t>
  </si>
  <si>
    <t>Given</t>
  </si>
  <si>
    <t>Middle</t>
  </si>
  <si>
    <t>Family</t>
  </si>
  <si>
    <t>Generational</t>
  </si>
  <si>
    <t>Credentials</t>
  </si>
  <si>
    <t>Phone Number</t>
  </si>
  <si>
    <t>Position</t>
  </si>
  <si>
    <t>Office</t>
  </si>
  <si>
    <t>Location</t>
  </si>
  <si>
    <t>Email</t>
  </si>
  <si>
    <t>Internal Notes</t>
  </si>
  <si>
    <t>Photo</t>
  </si>
  <si>
    <t>Colleague ID</t>
  </si>
  <si>
    <t>Dr. Angie</t>
  </si>
  <si>
    <t>G.</t>
  </si>
  <si>
    <t>Adams</t>
  </si>
  <si>
    <t>910-410-1857</t>
  </si>
  <si>
    <t>Dean of Arts and Sciences</t>
  </si>
  <si>
    <t>Lee 153</t>
  </si>
  <si>
    <t>Hamlet Campus</t>
  </si>
  <si>
    <t>agadams@richmondcc.edu</t>
  </si>
  <si>
    <t>Angie Adams_web_ready.jpg</t>
  </si>
  <si>
    <t>Ethan</t>
  </si>
  <si>
    <t>R.</t>
  </si>
  <si>
    <t>910-410-1901</t>
  </si>
  <si>
    <t>Instructor-Welding</t>
  </si>
  <si>
    <t>Forte 302</t>
  </si>
  <si>
    <t>eradams@richmondcc.edu</t>
  </si>
  <si>
    <t>Ethan Adams_web_ready.jpg</t>
  </si>
  <si>
    <t>Will</t>
  </si>
  <si>
    <t>H.</t>
  </si>
  <si>
    <t>Albertsen</t>
  </si>
  <si>
    <t>910-410-1917</t>
  </si>
  <si>
    <t>Instructor-Spanish</t>
  </si>
  <si>
    <t>Lee 164</t>
  </si>
  <si>
    <t>whalbertsen@richmondcc.edu</t>
  </si>
  <si>
    <t>New picture</t>
  </si>
  <si>
    <t>will_albertson_web_ready.jpg</t>
  </si>
  <si>
    <t>James</t>
  </si>
  <si>
    <t>Ian</t>
  </si>
  <si>
    <t>Allred</t>
  </si>
  <si>
    <t>910-410-1914</t>
  </si>
  <si>
    <t>Department Chair/Program Coordinator-Instructor-Math</t>
  </si>
  <si>
    <t>Lee 155</t>
  </si>
  <si>
    <t>jiallred155@richmondcc.edu</t>
  </si>
  <si>
    <t>Ian_Allred_web_ready.jpg</t>
  </si>
  <si>
    <t>Katelynn</t>
  </si>
  <si>
    <t>D.</t>
  </si>
  <si>
    <t>Arner</t>
  </si>
  <si>
    <t>910-410-1761</t>
  </si>
  <si>
    <t>Director of Distance Learning</t>
  </si>
  <si>
    <t>Conder 201B</t>
  </si>
  <si>
    <t>kdarner@richmondcc.edu</t>
  </si>
  <si>
    <t>Katelyn Arner_web_ready.jpg</t>
  </si>
  <si>
    <t>Gary</t>
  </si>
  <si>
    <t>P.</t>
  </si>
  <si>
    <t>Aycock</t>
  </si>
  <si>
    <t>910-410-1835</t>
  </si>
  <si>
    <t>Instructor-Humanities</t>
  </si>
  <si>
    <t>Conder 128</t>
  </si>
  <si>
    <t>gpaycock@richmondcc.edu</t>
  </si>
  <si>
    <t>Gary Aycock_web_ready.png</t>
  </si>
  <si>
    <t>Nichelle</t>
  </si>
  <si>
    <t>Bailey</t>
  </si>
  <si>
    <t>Instructor-Adult Education</t>
  </si>
  <si>
    <t>ndbailey@richmondcc.edu</t>
  </si>
  <si>
    <t>Nichelle Bailey_web_ready.jpg</t>
  </si>
  <si>
    <t>Brent</t>
  </si>
  <si>
    <t>T.</t>
  </si>
  <si>
    <t>Barbee</t>
  </si>
  <si>
    <t>910-410-1809</t>
  </si>
  <si>
    <t>President</t>
  </si>
  <si>
    <t>DeWitt 210</t>
  </si>
  <si>
    <t>btbarbee@richmondcc.edu</t>
  </si>
  <si>
    <t xml:space="preserve">New Picture </t>
  </si>
  <si>
    <t>Brent_Barbee_web_ready.jpg</t>
  </si>
  <si>
    <t>Joshua</t>
  </si>
  <si>
    <t>M.</t>
  </si>
  <si>
    <t>910-410-1691</t>
  </si>
  <si>
    <t>Assistant Director, Cole Auditorium</t>
  </si>
  <si>
    <t>Cole Box Office</t>
  </si>
  <si>
    <t>jmbarbee@richmondcc.edu</t>
  </si>
  <si>
    <t>Joshua_Barbee_web_ready.jpg</t>
  </si>
  <si>
    <t>Lance</t>
  </si>
  <si>
    <t>Barber</t>
  </si>
  <si>
    <t>910-410-1911</t>
  </si>
  <si>
    <t>Dept Chair/Program Coordinator-Instructor-Information Systems Tech</t>
  </si>
  <si>
    <t>Robinette 327</t>
  </si>
  <si>
    <t>Rockingham</t>
  </si>
  <si>
    <t>wlbarber@richmondcc.edu</t>
  </si>
  <si>
    <t>Lance Barber_web_ready.jpg</t>
  </si>
  <si>
    <t>Grover</t>
  </si>
  <si>
    <t xml:space="preserve">C. </t>
  </si>
  <si>
    <t xml:space="preserve">Baxley </t>
  </si>
  <si>
    <t>910-410-1822</t>
  </si>
  <si>
    <t>Information Technology Specialist</t>
  </si>
  <si>
    <t>Dewitt Building</t>
  </si>
  <si>
    <t>gcbaxley@richmondcc.edu</t>
  </si>
  <si>
    <t>Grover_Baxley_web_ready.jpg</t>
  </si>
  <si>
    <t>Kelley</t>
  </si>
  <si>
    <t>N.</t>
  </si>
  <si>
    <t>Beam</t>
  </si>
  <si>
    <t>910-410-1741</t>
  </si>
  <si>
    <t>Instructor-Business</t>
  </si>
  <si>
    <t>Robinette 224</t>
  </si>
  <si>
    <t>knbeam@richmondcc.edu</t>
  </si>
  <si>
    <t>Kelley_Beam_web_ready.jpg</t>
  </si>
  <si>
    <t>Leighton</t>
  </si>
  <si>
    <t>W.</t>
  </si>
  <si>
    <t>Bell</t>
  </si>
  <si>
    <t>910-410-1775</t>
  </si>
  <si>
    <t>Director of Customized Training</t>
  </si>
  <si>
    <t>Lee 115</t>
  </si>
  <si>
    <t>lwbell@richmondcc.edu</t>
  </si>
  <si>
    <t>Leighton Bell_web_ready.jpg</t>
  </si>
  <si>
    <t>Wylie</t>
  </si>
  <si>
    <t>910-410-1826</t>
  </si>
  <si>
    <t>Director of Marketing and Communications</t>
  </si>
  <si>
    <t>Conder 123</t>
  </si>
  <si>
    <t>wdbell@richmondcc.edu</t>
  </si>
  <si>
    <t>Wylie_Bell_web_ready.jpg</t>
  </si>
  <si>
    <t>Chris</t>
  </si>
  <si>
    <t>C.</t>
  </si>
  <si>
    <t>Bennett</t>
  </si>
  <si>
    <t>910-410-1906</t>
  </si>
  <si>
    <t>Instructor-Nursing</t>
  </si>
  <si>
    <t>Grimsley 125</t>
  </si>
  <si>
    <t>bcbennett@richmondcc.edu</t>
  </si>
  <si>
    <t>Chris_Bennett_web_ready.jpg</t>
  </si>
  <si>
    <t>Joey</t>
  </si>
  <si>
    <t>910-410-1690</t>
  </si>
  <si>
    <t>Cole Auditorium Director</t>
  </si>
  <si>
    <t>Cole 120</t>
  </si>
  <si>
    <t>jdbennett@richmondcc.edu</t>
  </si>
  <si>
    <t>Joey_Bennett_web_ready.jpg</t>
  </si>
  <si>
    <t>Arlinda</t>
  </si>
  <si>
    <t>Billingsley</t>
  </si>
  <si>
    <t>910-410-1899</t>
  </si>
  <si>
    <t>Healthcare Management Program Coordinator</t>
  </si>
  <si>
    <t>Robinette 222</t>
  </si>
  <si>
    <t>acbillingsley@richmondcc.edu</t>
  </si>
  <si>
    <t>Arlinda Billingsley_web_ready.jpg</t>
  </si>
  <si>
    <t>Thomas</t>
  </si>
  <si>
    <t>Blackstock</t>
  </si>
  <si>
    <t>910-410-1682</t>
  </si>
  <si>
    <t>Custodian</t>
  </si>
  <si>
    <t>Café</t>
  </si>
  <si>
    <t>tgblackstock@richmondcc.edu</t>
  </si>
  <si>
    <t>Thomas Blackstone_web_ready.jpg</t>
  </si>
  <si>
    <t>Tamalin</t>
  </si>
  <si>
    <t>Blanton</t>
  </si>
  <si>
    <t>910-410-1878</t>
  </si>
  <si>
    <t>Instructor-Nursing Assistant</t>
  </si>
  <si>
    <t>Grimsley</t>
  </si>
  <si>
    <t xml:space="preserve">Hamlet Campus </t>
  </si>
  <si>
    <t>tgblanton@richmondcc.edu</t>
  </si>
  <si>
    <t>Tammy_Blanton_web_ready.jpg</t>
  </si>
  <si>
    <t>Richard</t>
  </si>
  <si>
    <t>J.</t>
  </si>
  <si>
    <t>Boles</t>
  </si>
  <si>
    <t>910-410-1720</t>
  </si>
  <si>
    <t>Instructor-Electric Utility Substation and Relay Technology</t>
  </si>
  <si>
    <t>Forte 315</t>
  </si>
  <si>
    <t>rjboles@richmondcc.edu</t>
  </si>
  <si>
    <t>Richie Boles_web_ready.jpg</t>
  </si>
  <si>
    <t>Reece</t>
  </si>
  <si>
    <t>Bostic</t>
  </si>
  <si>
    <t>910-410-1756</t>
  </si>
  <si>
    <t>Instructor-Information Technology</t>
  </si>
  <si>
    <t>jmbostic@richmondcc.edu</t>
  </si>
  <si>
    <t>Reese Bostic_web_ready.jpg</t>
  </si>
  <si>
    <t>Karen</t>
  </si>
  <si>
    <t>Bostick</t>
  </si>
  <si>
    <t>901-410-1804</t>
  </si>
  <si>
    <t>Director of Human Resources</t>
  </si>
  <si>
    <t>Dewitt 202</t>
  </si>
  <si>
    <t>krbostick@richmondcc.edu</t>
  </si>
  <si>
    <t>Karen Bostick_web_ready.jpg</t>
  </si>
  <si>
    <t xml:space="preserve">Rebecca </t>
  </si>
  <si>
    <t xml:space="preserve">L. </t>
  </si>
  <si>
    <t>Bradley</t>
  </si>
  <si>
    <t>910-410-1773</t>
  </si>
  <si>
    <t xml:space="preserve">Access to Achievement Advisor </t>
  </si>
  <si>
    <t>Lee 123</t>
  </si>
  <si>
    <t>rlbradley@richmondcc.edu</t>
  </si>
  <si>
    <t>Rebecca_Bradley_web_ready.jpg</t>
  </si>
  <si>
    <t>Martin</t>
  </si>
  <si>
    <t>Bridges</t>
  </si>
  <si>
    <t>910-410-1818</t>
  </si>
  <si>
    <t>Purchasing Agent</t>
  </si>
  <si>
    <t>Lindsey-Petris 142</t>
  </si>
  <si>
    <t>mwbridges@richmondcc.edu</t>
  </si>
  <si>
    <t>Martin Bridges_web_ready.png</t>
  </si>
  <si>
    <t>Lindell</t>
  </si>
  <si>
    <t>Bright</t>
  </si>
  <si>
    <t>910-410-1981</t>
  </si>
  <si>
    <t>Simulation Technician</t>
  </si>
  <si>
    <t>Simulation Center</t>
  </si>
  <si>
    <t>lwbright@richmondcc.edu</t>
  </si>
  <si>
    <t>Lindell_Bright_web_ready.jpg</t>
  </si>
  <si>
    <t>Jessica</t>
  </si>
  <si>
    <t>Brigman</t>
  </si>
  <si>
    <t>910-410-1883</t>
  </si>
  <si>
    <t>Program Director of Practical Nursing</t>
  </si>
  <si>
    <t>Honeycutt 109</t>
  </si>
  <si>
    <t>Scotland County Campus</t>
  </si>
  <si>
    <t>jwbrigman@richmondcc.edu</t>
  </si>
  <si>
    <t>Jessica Brigman_web_ready.jpg</t>
  </si>
  <si>
    <t>Shari</t>
  </si>
  <si>
    <t>Brockington</t>
  </si>
  <si>
    <t>910-410-1915</t>
  </si>
  <si>
    <t>Instructor-Math</t>
  </si>
  <si>
    <t>Lee 160</t>
  </si>
  <si>
    <t>snbrockington@richmondcc.edu</t>
  </si>
  <si>
    <t>Shari Brockington_web_ready.jpg</t>
  </si>
  <si>
    <t>Cristianne</t>
  </si>
  <si>
    <t>Brown</t>
  </si>
  <si>
    <t>910-410-1772</t>
  </si>
  <si>
    <t>Collegeand Career Readiness Coordinator</t>
  </si>
  <si>
    <t>Lindsey-Petris 110B</t>
  </si>
  <si>
    <t>cmbrown@richmondcc.edu</t>
  </si>
  <si>
    <t>Cristianne McDonald_web_ready.jpg</t>
  </si>
  <si>
    <t>Holli</t>
  </si>
  <si>
    <t>910-410-1714</t>
  </si>
  <si>
    <t>Lee 156</t>
  </si>
  <si>
    <t>hhbrown@richmondcc.edu</t>
  </si>
  <si>
    <t>Holli_Brown_web_ready_2.jpg</t>
  </si>
  <si>
    <t>Katina</t>
  </si>
  <si>
    <t xml:space="preserve">910-410-1817 </t>
  </si>
  <si>
    <t>Associate Vice President for Administrative Services</t>
  </si>
  <si>
    <t>Honeycutt 103</t>
  </si>
  <si>
    <t>kwbrown@richmondcc.edu</t>
  </si>
  <si>
    <t>Katina Brown_web_ready.jpg</t>
  </si>
  <si>
    <t>LJ</t>
  </si>
  <si>
    <t>I.</t>
  </si>
  <si>
    <t>910-410-1744</t>
  </si>
  <si>
    <t>Enrollment Management Coordinator</t>
  </si>
  <si>
    <t>Lee 112</t>
  </si>
  <si>
    <t>librown@richmondcc.edu</t>
  </si>
  <si>
    <t>LJ Brown_web_ready.jpg</t>
  </si>
  <si>
    <t>Archie</t>
  </si>
  <si>
    <t>Bullard</t>
  </si>
  <si>
    <t>910-410-1738</t>
  </si>
  <si>
    <t>Career and Transfer Advisor</t>
  </si>
  <si>
    <t>Honeycutt 110</t>
  </si>
  <si>
    <t>arbullard@richmondcc.edu</t>
  </si>
  <si>
    <t>Archie_Bullard_web_ready.jpg</t>
  </si>
  <si>
    <t>Elizabeth</t>
  </si>
  <si>
    <t>Bullock</t>
  </si>
  <si>
    <t>910-410-1876</t>
  </si>
  <si>
    <t>Instructor - Nursing</t>
  </si>
  <si>
    <t>Grimsley 119</t>
  </si>
  <si>
    <t>ecbullock@richmondcc.edu</t>
  </si>
  <si>
    <t>No</t>
  </si>
  <si>
    <t>No_Image_Available.jpg</t>
  </si>
  <si>
    <t>Angela</t>
  </si>
  <si>
    <t>Butler</t>
  </si>
  <si>
    <t>910-410-1880</t>
  </si>
  <si>
    <t>Instructor - Nursing Assistant</t>
  </si>
  <si>
    <t>Morgan Center 221</t>
  </si>
  <si>
    <t>asbutler@richmondcc.edu</t>
  </si>
  <si>
    <t>Angela Butler_web_ready.jpg</t>
  </si>
  <si>
    <t>Teresa</t>
  </si>
  <si>
    <t>A.</t>
  </si>
  <si>
    <t>Cabellero-Meehan</t>
  </si>
  <si>
    <t>910-410-1896</t>
  </si>
  <si>
    <t>Academic Success Center/OWCC Evening Coordinator</t>
  </si>
  <si>
    <t>Conder 102</t>
  </si>
  <si>
    <t>tacaballero-meehan@richmondcc.edu</t>
  </si>
  <si>
    <t>Jordan</t>
  </si>
  <si>
    <t>Callahan</t>
  </si>
  <si>
    <t>910-410-1845</t>
  </si>
  <si>
    <t>EMS Coordinator/Instructor</t>
  </si>
  <si>
    <t>Lee 183</t>
  </si>
  <si>
    <t>jncallahan@richmondcc.edu</t>
  </si>
  <si>
    <t>Jordan Callahan_web_ready.jpg</t>
  </si>
  <si>
    <t>Linda</t>
  </si>
  <si>
    <t>Campbell</t>
  </si>
  <si>
    <t>910-410-1732</t>
  </si>
  <si>
    <t>Career and Transfer Student Advisor</t>
  </si>
  <si>
    <t>Lee 106</t>
  </si>
  <si>
    <t>lbcampbell@richmondcc.edu</t>
  </si>
  <si>
    <t>Linda Campbell_web_ready.jpg</t>
  </si>
  <si>
    <t xml:space="preserve">Emily </t>
  </si>
  <si>
    <t xml:space="preserve">V. </t>
  </si>
  <si>
    <t>Carlyle</t>
  </si>
  <si>
    <t>910-410-1752</t>
  </si>
  <si>
    <t xml:space="preserve">Librarian Assistant </t>
  </si>
  <si>
    <t>Conder 117</t>
  </si>
  <si>
    <t>evcarlyle@richmondcc.edu</t>
  </si>
  <si>
    <t>Emily_Carlyle_web_ready.jpg</t>
  </si>
  <si>
    <t>Carriker</t>
  </si>
  <si>
    <t>Instructor-Adult Education (RCI)</t>
  </si>
  <si>
    <t>ercarriker@richmondcc.edu</t>
  </si>
  <si>
    <t>Elizabeth Carriker_web_ready.jpg</t>
  </si>
  <si>
    <t>Charlotte</t>
  </si>
  <si>
    <t>Carter</t>
  </si>
  <si>
    <t>910-410-1742</t>
  </si>
  <si>
    <t>Instructor-Biology</t>
  </si>
  <si>
    <t>Lee 163</t>
  </si>
  <si>
    <t>cmcarter@richmondcc.edu</t>
  </si>
  <si>
    <t>Charlotte_Carter_web_ready.jpg</t>
  </si>
  <si>
    <t>Morris</t>
  </si>
  <si>
    <t>Doug</t>
  </si>
  <si>
    <t>910-410-1713</t>
  </si>
  <si>
    <t>Instructor-Social Sciences</t>
  </si>
  <si>
    <t>mdcarter@richmondcc.edu</t>
  </si>
  <si>
    <t>Doug_Carter_web_ready.jpg</t>
  </si>
  <si>
    <t>Debbie</t>
  </si>
  <si>
    <t>Cashwell</t>
  </si>
  <si>
    <t>910-410-1803</t>
  </si>
  <si>
    <t>Controller</t>
  </si>
  <si>
    <t>Dewitt 203</t>
  </si>
  <si>
    <t>dccashwell@richmondcc.edu</t>
  </si>
  <si>
    <t>NO</t>
  </si>
  <si>
    <t>Ronald</t>
  </si>
  <si>
    <t>K.</t>
  </si>
  <si>
    <t>Caulder</t>
  </si>
  <si>
    <t>II</t>
  </si>
  <si>
    <t>Assistant Director of Facility Services</t>
  </si>
  <si>
    <t>Maintenance Shop</t>
  </si>
  <si>
    <t>rkcaulder@richmondcc.edu</t>
  </si>
  <si>
    <t>Ronnie_Caulder_web_ready.jpg</t>
  </si>
  <si>
    <t>Charlonda</t>
  </si>
  <si>
    <t>Caple</t>
  </si>
  <si>
    <t>910-410-1796</t>
  </si>
  <si>
    <t>Assistant Director of Human Resources</t>
  </si>
  <si>
    <t>DeWitt 205</t>
  </si>
  <si>
    <t>cjcaple@richmondcc.edu</t>
  </si>
  <si>
    <t>Charlonda_Caple_web_ready.jpg</t>
  </si>
  <si>
    <t>Donald</t>
  </si>
  <si>
    <t>Chappell</t>
  </si>
  <si>
    <t>910-410-1802</t>
  </si>
  <si>
    <t>Accounts Payable Technician</t>
  </si>
  <si>
    <t>DeWitt Business Office</t>
  </si>
  <si>
    <t>drchappell@richmondcc.edu</t>
  </si>
  <si>
    <t>Madelyn</t>
  </si>
  <si>
    <t>910-410-1935</t>
  </si>
  <si>
    <t>Instructor-Music</t>
  </si>
  <si>
    <t>Lindsey-Petris 122</t>
  </si>
  <si>
    <t>mcchappell@richmondcc.edu</t>
  </si>
  <si>
    <t>Madelyn_Chappell_web_ready.png</t>
  </si>
  <si>
    <t>Michelle</t>
  </si>
  <si>
    <t>B.</t>
  </si>
  <si>
    <t>910-410-1715</t>
  </si>
  <si>
    <t>mbchappell@richmondcc.edu</t>
  </si>
  <si>
    <t>Michelle_Chappell_web_ready.jpg</t>
  </si>
  <si>
    <t>Jon</t>
  </si>
  <si>
    <t>Chavis</t>
  </si>
  <si>
    <t>Instructor-CDL</t>
  </si>
  <si>
    <t>jrchavis@richmondcc.edu</t>
  </si>
  <si>
    <t>Kelly</t>
  </si>
  <si>
    <t>910-410-1831</t>
  </si>
  <si>
    <t>Scotland County Receptionist/Cashier</t>
  </si>
  <si>
    <t>Honeycutt Front Desk</t>
  </si>
  <si>
    <t>kmchavis@richmondcc.edu</t>
  </si>
  <si>
    <t>Kelly Chavis_web_ready.png</t>
  </si>
  <si>
    <t>Tonya</t>
  </si>
  <si>
    <t>910-410-1832</t>
  </si>
  <si>
    <t>Counselor</t>
  </si>
  <si>
    <t>Honeycutt 104</t>
  </si>
  <si>
    <t>tcchavis@richmondcc.edu</t>
  </si>
  <si>
    <t>Tonya_Chavis_web_ready.png</t>
  </si>
  <si>
    <t>Timothy</t>
  </si>
  <si>
    <t>S.</t>
  </si>
  <si>
    <t>Cole</t>
  </si>
  <si>
    <t>Groundskeeper</t>
  </si>
  <si>
    <t>tscole@richmondcc.edu</t>
  </si>
  <si>
    <t>Tim_Cole_web_ready.jpg</t>
  </si>
  <si>
    <t>Crystal</t>
  </si>
  <si>
    <t>Collins</t>
  </si>
  <si>
    <t>910-410-1948</t>
  </si>
  <si>
    <t>Assistant Director of K-12 Partnerships</t>
  </si>
  <si>
    <t>Lee 165</t>
  </si>
  <si>
    <t>cscollins1459@richmondcc.edu</t>
  </si>
  <si>
    <t>Michael</t>
  </si>
  <si>
    <t>Covington</t>
  </si>
  <si>
    <t>Commercial Cleaning Instructor</t>
  </si>
  <si>
    <t>macovington@richmondcc.edu</t>
  </si>
  <si>
    <t>Tiffany</t>
  </si>
  <si>
    <t>910-410-1838</t>
  </si>
  <si>
    <t>Instructor-Sociology</t>
  </si>
  <si>
    <t>Lindsey-Petris 122-A</t>
  </si>
  <si>
    <t>tgcovington@richmondcc.edu</t>
  </si>
  <si>
    <t>Tiffany Covington_web_ready.png</t>
  </si>
  <si>
    <t>Shannon</t>
  </si>
  <si>
    <t>Cowen</t>
  </si>
  <si>
    <t>Evening Lindsey-Petris</t>
  </si>
  <si>
    <t>scowen@richmondcc.edu</t>
  </si>
  <si>
    <t>Shanon Cowen_web_ready.png</t>
  </si>
  <si>
    <t>Renea</t>
  </si>
  <si>
    <t>Craven</t>
  </si>
  <si>
    <t>910-410-1888</t>
  </si>
  <si>
    <t>Instructor - Medical Assisting</t>
  </si>
  <si>
    <t>Grimsley 221</t>
  </si>
  <si>
    <t>arcraven1239@richmondcc.edu</t>
  </si>
  <si>
    <t>Renea Craven_web_ready.jpg</t>
  </si>
  <si>
    <t>Sebrina</t>
  </si>
  <si>
    <t>Cropper</t>
  </si>
  <si>
    <t>910-410-1750</t>
  </si>
  <si>
    <t>srcropper@richmondcc.edu</t>
  </si>
  <si>
    <t>Sebrina_Cropper_web_ready.jpg</t>
  </si>
  <si>
    <t>Ashley</t>
  </si>
  <si>
    <t>Curtis</t>
  </si>
  <si>
    <t>910-410-1925</t>
  </si>
  <si>
    <t>Biology Lab Coordinator</t>
  </si>
  <si>
    <t>Grimsley 132</t>
  </si>
  <si>
    <t>alcurtis@richmondcc.edu</t>
  </si>
  <si>
    <t>Ashley_Curtis_web_ready.jpg</t>
  </si>
  <si>
    <t>Mitch</t>
  </si>
  <si>
    <t>Daugherty</t>
  </si>
  <si>
    <t>910-410-1856</t>
  </si>
  <si>
    <t>Electric Lineman Program Coordinator</t>
  </si>
  <si>
    <t>Lineman Yard</t>
  </si>
  <si>
    <t>rmdaugherty@richmondcc.edu</t>
  </si>
  <si>
    <t>Mitch Daughtry_web_ready.jpg</t>
  </si>
  <si>
    <t>Maria</t>
  </si>
  <si>
    <t>Davis</t>
  </si>
  <si>
    <t>910-410-1754</t>
  </si>
  <si>
    <t>Library Technical Assistant</t>
  </si>
  <si>
    <t>Conder 120</t>
  </si>
  <si>
    <t>mcdavis@richmondcc.edu</t>
  </si>
  <si>
    <t>Maria Davis_web ready.jpg</t>
  </si>
  <si>
    <t>Tarrah</t>
  </si>
  <si>
    <t>Dawkins</t>
  </si>
  <si>
    <t>10-410-1936</t>
  </si>
  <si>
    <t>Psychology Instructor</t>
  </si>
  <si>
    <t>tbdawkins@richmondcc.edu</t>
  </si>
  <si>
    <t>Tarrah_Dawkins_web_ready.jpg</t>
  </si>
  <si>
    <t xml:space="preserve">Michele </t>
  </si>
  <si>
    <t xml:space="preserve">Dellay </t>
  </si>
  <si>
    <t>910-410-1841</t>
  </si>
  <si>
    <t xml:space="preserve">EMS Instructor </t>
  </si>
  <si>
    <t>medellay@richmondcc.edu</t>
  </si>
  <si>
    <t>Michele_Delay_web_ready.jpg</t>
  </si>
  <si>
    <t>Shirley</t>
  </si>
  <si>
    <t>Deweese</t>
  </si>
  <si>
    <t>910-410-885</t>
  </si>
  <si>
    <t>Nursing Instructor</t>
  </si>
  <si>
    <t>sndeweese@richmondcc.edu</t>
  </si>
  <si>
    <t>Shirley_Deweese_web_ready.jpg</t>
  </si>
  <si>
    <t>Duncan</t>
  </si>
  <si>
    <t>Dial</t>
  </si>
  <si>
    <t>Morgan Center 220</t>
  </si>
  <si>
    <t>dedial@richmondcc.edu</t>
  </si>
  <si>
    <t>Duncan Dial_web_ready.png</t>
  </si>
  <si>
    <t>Peter</t>
  </si>
  <si>
    <t>Clayton</t>
  </si>
  <si>
    <t>910-410-1871</t>
  </si>
  <si>
    <t>Instructor-Machining Technology</t>
  </si>
  <si>
    <t>Forte 311</t>
  </si>
  <si>
    <t>pcdial9481@richmondcc.edu</t>
  </si>
  <si>
    <t>Clayton_Dial_web_ready.jpg</t>
  </si>
  <si>
    <t>Charles</t>
  </si>
  <si>
    <t>E.</t>
  </si>
  <si>
    <t>Dickerson</t>
  </si>
  <si>
    <t>910-410-1940</t>
  </si>
  <si>
    <t>Instructor-English</t>
  </si>
  <si>
    <t>Lindsey-Petris 122- A</t>
  </si>
  <si>
    <t>cedickerson@richmondcc.edu</t>
  </si>
  <si>
    <t>Charles Dickerson_web_ready.jpg</t>
  </si>
  <si>
    <t>Tevin</t>
  </si>
  <si>
    <t>Diggs</t>
  </si>
  <si>
    <t>910-410-1689</t>
  </si>
  <si>
    <t>Robinette Building</t>
  </si>
  <si>
    <t>tgdiggs@richmondcc.edu</t>
  </si>
  <si>
    <t>Tevin_Diggs_web_ready.jpg</t>
  </si>
  <si>
    <t>Jeffrey</t>
  </si>
  <si>
    <t>Dogan</t>
  </si>
  <si>
    <t>910-410-1951</t>
  </si>
  <si>
    <t>Adcademic Success Center Coordinator</t>
  </si>
  <si>
    <t>Morgan 219</t>
  </si>
  <si>
    <t>jjdogan@richmondcc.edu</t>
  </si>
  <si>
    <t xml:space="preserve">New picture </t>
  </si>
  <si>
    <t>Jeffrey_Dogan_web_ready.jpg</t>
  </si>
  <si>
    <t>Kwesi</t>
  </si>
  <si>
    <t>Dukes</t>
  </si>
  <si>
    <t>910-410-1765</t>
  </si>
  <si>
    <t>Testing Center Coordinator</t>
  </si>
  <si>
    <t>Lee 126</t>
  </si>
  <si>
    <t>kadukes@richmondcc.edu</t>
  </si>
  <si>
    <t>Kwesi_Dukes_web_ready.jpg</t>
  </si>
  <si>
    <t>Marcus</t>
  </si>
  <si>
    <t>Dunn</t>
  </si>
  <si>
    <t>910-410-1760</t>
  </si>
  <si>
    <t>Instructor-Art</t>
  </si>
  <si>
    <t>Lindsey-Petris 117</t>
  </si>
  <si>
    <t>mbdunn@richmondcc.edu</t>
  </si>
  <si>
    <t>Marcus Dunn_web_ready.jpg</t>
  </si>
  <si>
    <t>Sheri</t>
  </si>
  <si>
    <t>Dunn-Ramsay</t>
  </si>
  <si>
    <t>910-410-1907</t>
  </si>
  <si>
    <t>Vice President of Student Services</t>
  </si>
  <si>
    <t>Lee 140</t>
  </si>
  <si>
    <t>srdunn-ramsay@richmondcc.edu</t>
  </si>
  <si>
    <t>Sheri Dunn-Ramsay_web_ready.jpg</t>
  </si>
  <si>
    <t>Jonathan</t>
  </si>
  <si>
    <t>Easterlin</t>
  </si>
  <si>
    <t>910-410-1938</t>
  </si>
  <si>
    <t>Instructor-HVAC</t>
  </si>
  <si>
    <t>Honeycutt 135</t>
  </si>
  <si>
    <t>jceasterling@richmondcc.edu</t>
  </si>
  <si>
    <t>Jonathan_Easterling_web_ready.jpg</t>
  </si>
  <si>
    <t>Kary</t>
  </si>
  <si>
    <t>Edmondson</t>
  </si>
  <si>
    <t>910-410-1928</t>
  </si>
  <si>
    <t>Dean of K-12 Partnerships</t>
  </si>
  <si>
    <t>Lee 166</t>
  </si>
  <si>
    <t>kcedmondson@richmondcc.edu</t>
  </si>
  <si>
    <t>kary Edmondson_web_ready.jpg</t>
  </si>
  <si>
    <t>Sandra</t>
  </si>
  <si>
    <t>Ellis</t>
  </si>
  <si>
    <t>910-410-1766</t>
  </si>
  <si>
    <t>Student Success and Outreach Coordinator/Disability Services</t>
  </si>
  <si>
    <t>Lee 114</t>
  </si>
  <si>
    <t>saellis@richmondcc.edu</t>
  </si>
  <si>
    <t>Sandra_Ellis_web_ready.png</t>
  </si>
  <si>
    <t>Mary</t>
  </si>
  <si>
    <t>Anne</t>
  </si>
  <si>
    <t>Evans</t>
  </si>
  <si>
    <t>910-410-1746</t>
  </si>
  <si>
    <t>Instructor-Chemistry</t>
  </si>
  <si>
    <t>Lee 186</t>
  </si>
  <si>
    <t>maevans@richmondcc.edu</t>
  </si>
  <si>
    <t>Mary_Anne_Evans_web_ready.jpg</t>
  </si>
  <si>
    <t>Jason</t>
  </si>
  <si>
    <t>Felts</t>
  </si>
  <si>
    <t>910-410-1932</t>
  </si>
  <si>
    <t>jefelts@richmondcc.edu</t>
  </si>
  <si>
    <t>Jason Felts_web_ready.jpg</t>
  </si>
  <si>
    <t>Fike</t>
  </si>
  <si>
    <t>910-410-1972</t>
  </si>
  <si>
    <t>Surgical Tech Program Coordinator</t>
  </si>
  <si>
    <t>Robinette 223</t>
  </si>
  <si>
    <t>ctfike@richmondcc.edu</t>
  </si>
  <si>
    <t>Charlotte Fike_web_ready.png</t>
  </si>
  <si>
    <t>Amanda</t>
  </si>
  <si>
    <t>Frazier</t>
  </si>
  <si>
    <t>910-410-1891</t>
  </si>
  <si>
    <t>Morgan 221</t>
  </si>
  <si>
    <t>alfrazier@richmondcc.edu</t>
  </si>
  <si>
    <t>Amanda Frazier_web_ready.png</t>
  </si>
  <si>
    <t>Lori</t>
  </si>
  <si>
    <t>Frear</t>
  </si>
  <si>
    <t>910-410-1926</t>
  </si>
  <si>
    <t>lafrear@richmondcc.edu</t>
  </si>
  <si>
    <t>Lori_Frear_web_ready.jpg</t>
  </si>
  <si>
    <t>Kim</t>
  </si>
  <si>
    <t>Freeman</t>
  </si>
  <si>
    <t>Conder Building</t>
  </si>
  <si>
    <t>kdfreeman@richmondcc.edu</t>
  </si>
  <si>
    <t>Kim Freeman_web_ready.png</t>
  </si>
  <si>
    <t>Ricky</t>
  </si>
  <si>
    <t>910-410-1712</t>
  </si>
  <si>
    <t>Welding Technology Program Coordinator</t>
  </si>
  <si>
    <t>rafreeman@richmondcc.edu</t>
  </si>
  <si>
    <t>Ricky_Freeman_web_ready.jpg</t>
  </si>
  <si>
    <t>Lisa</t>
  </si>
  <si>
    <t>Gainey</t>
  </si>
  <si>
    <t>lsgainey@richmondcc.edu</t>
  </si>
  <si>
    <t>Tug</t>
  </si>
  <si>
    <t>910-410-1825</t>
  </si>
  <si>
    <t>Network Systems Administrator</t>
  </si>
  <si>
    <t>DeWitt 110</t>
  </si>
  <si>
    <t>rcgainey@richmondcc.edu</t>
  </si>
  <si>
    <t>Samuel</t>
  </si>
  <si>
    <t>Gandy</t>
  </si>
  <si>
    <t>Maintenance Technician</t>
  </si>
  <si>
    <t>smgandy@richmondcc.edu</t>
  </si>
  <si>
    <t>Samuel Gandy_web_ready.jpg</t>
  </si>
  <si>
    <t>Christopher</t>
  </si>
  <si>
    <t>Gardner</t>
  </si>
  <si>
    <t>910-410-1731</t>
  </si>
  <si>
    <t>Director of Counseling</t>
  </si>
  <si>
    <t>Lee 118</t>
  </si>
  <si>
    <t>csgardner@richmondcc.edu</t>
  </si>
  <si>
    <t>Whittney</t>
  </si>
  <si>
    <t>Garner</t>
  </si>
  <si>
    <t>910-410-1973</t>
  </si>
  <si>
    <t>Surgical Tech Clinical Coordinator</t>
  </si>
  <si>
    <t>wgarner@richmondcc.edu</t>
  </si>
  <si>
    <t>Whitney Garner_web_ready.png</t>
  </si>
  <si>
    <t>Joseph</t>
  </si>
  <si>
    <t>F.</t>
  </si>
  <si>
    <t>Gibbs</t>
  </si>
  <si>
    <t>910-410-1870</t>
  </si>
  <si>
    <t>Instructor-Electric Lineman</t>
  </si>
  <si>
    <t>jfgibbs@richmondcc.edu</t>
  </si>
  <si>
    <t>Joseph Gibbs_web_ready.jpg</t>
  </si>
  <si>
    <t>Scarlet</t>
  </si>
  <si>
    <t>910-410-1717</t>
  </si>
  <si>
    <t>CCR Coordinator/HSE Examiner</t>
  </si>
  <si>
    <t>skgibbs@richmondcc.edu</t>
  </si>
  <si>
    <t>Scarlet Gibbs_web_ready.jpg</t>
  </si>
  <si>
    <t>Gibson</t>
  </si>
  <si>
    <t>910-410-1812</t>
  </si>
  <si>
    <t>Network System Engineer</t>
  </si>
  <si>
    <t xml:space="preserve">Dewitt 111 </t>
  </si>
  <si>
    <t>bgibson@richmondcc.edu</t>
  </si>
  <si>
    <t>Brent Gibson_web_ready.png</t>
  </si>
  <si>
    <t>Angineek</t>
  </si>
  <si>
    <t>Gillenwater</t>
  </si>
  <si>
    <t>910-410-1708</t>
  </si>
  <si>
    <t>Director of Program Development, Fire and EMS</t>
  </si>
  <si>
    <t>Lee 138</t>
  </si>
  <si>
    <t>ajgillenwater@richmondcc.edu</t>
  </si>
  <si>
    <t>Angineek Gillenwater_web_ready.png</t>
  </si>
  <si>
    <t>Cheryl</t>
  </si>
  <si>
    <t>Gilliam</t>
  </si>
  <si>
    <t>910-410-1736</t>
  </si>
  <si>
    <t>Assistant Registrar-Admissions</t>
  </si>
  <si>
    <t>Lee 131</t>
  </si>
  <si>
    <t>ctgilliam@richmondcc.edu</t>
  </si>
  <si>
    <t>Cindy</t>
  </si>
  <si>
    <t>L.</t>
  </si>
  <si>
    <t>Gilmore</t>
  </si>
  <si>
    <t>910-410-1892</t>
  </si>
  <si>
    <t>clgilmore@richmondcc.edu</t>
  </si>
  <si>
    <t>Dr. Kimberly</t>
  </si>
  <si>
    <t>Goard</t>
  </si>
  <si>
    <t>910-410-1745</t>
  </si>
  <si>
    <t>Humanities &amp; Social Sciences Instructor</t>
  </si>
  <si>
    <t>Lee 161</t>
  </si>
  <si>
    <t>kmgoard@richmondcc.edu</t>
  </si>
  <si>
    <t>Kimberly_Goard_web_ready.jpg</t>
  </si>
  <si>
    <t>Birgit</t>
  </si>
  <si>
    <t>Godfrey</t>
  </si>
  <si>
    <t>910-410-1815</t>
  </si>
  <si>
    <t>PC Technician</t>
  </si>
  <si>
    <t>DeWitt 106</t>
  </si>
  <si>
    <t>bkgodfrey@richmondcc.edu</t>
  </si>
  <si>
    <t>Brian</t>
  </si>
  <si>
    <t>Goodman</t>
  </si>
  <si>
    <t>910-410-1895</t>
  </si>
  <si>
    <t>Robinette 319</t>
  </si>
  <si>
    <t>blgoodman@richmondcc.edu</t>
  </si>
  <si>
    <t>Brian Goodman_web_ready.jpg</t>
  </si>
  <si>
    <t>Jacob</t>
  </si>
  <si>
    <t>Goodwin</t>
  </si>
  <si>
    <t>910-410-1858</t>
  </si>
  <si>
    <t>History Instructor</t>
  </si>
  <si>
    <t>jgoodwin@riichmondcc.edu</t>
  </si>
  <si>
    <t>Jacob_Goodwin_web_ready.jpg</t>
  </si>
  <si>
    <t>Graham</t>
  </si>
  <si>
    <t>Instructor-Electrical Wiring</t>
  </si>
  <si>
    <t>bkgraham@richmondcc.edu</t>
  </si>
  <si>
    <t>Jenna</t>
  </si>
  <si>
    <t>910-410-1839</t>
  </si>
  <si>
    <t>Digital Content Manager</t>
  </si>
  <si>
    <t>Conder 129</t>
  </si>
  <si>
    <t>jegraham@richmondcc.edu</t>
  </si>
  <si>
    <t>New Picture</t>
  </si>
  <si>
    <t>Greene</t>
  </si>
  <si>
    <t>910-410-1890</t>
  </si>
  <si>
    <t>Program Coordinator-Medical Assisting</t>
  </si>
  <si>
    <t>Grimsley 222</t>
  </si>
  <si>
    <t>chgreene@richmondcc.edu</t>
  </si>
  <si>
    <t>Crystal_Greene_web_ready.jpg</t>
  </si>
  <si>
    <t>Leah</t>
  </si>
  <si>
    <t>Grooms</t>
  </si>
  <si>
    <t>910-410-1833</t>
  </si>
  <si>
    <t>Allied Health Program Coordinator</t>
  </si>
  <si>
    <t>Grimsley 223</t>
  </si>
  <si>
    <t>legrooms@richmondcc.edu</t>
  </si>
  <si>
    <t>Leah_Grooms_web_ready.jpg</t>
  </si>
  <si>
    <t>Annie</t>
  </si>
  <si>
    <t>Harden</t>
  </si>
  <si>
    <t>910-410-1912</t>
  </si>
  <si>
    <t>Instructor-Engineering</t>
  </si>
  <si>
    <t>Forte 303</t>
  </si>
  <si>
    <t>arharden@richmondcc.edu</t>
  </si>
  <si>
    <t>Annie Harden_web_ready.png</t>
  </si>
  <si>
    <t>Harrelson</t>
  </si>
  <si>
    <t>910-410-1808</t>
  </si>
  <si>
    <t>Accounting and Donor Specialist-RichmondCC Foundation</t>
  </si>
  <si>
    <t>DeWitt 207</t>
  </si>
  <si>
    <t>lsharrelson@richmondcc.edu</t>
  </si>
  <si>
    <t>Lisa Harrelson_web_ready.jpg</t>
  </si>
  <si>
    <t>Krystal</t>
  </si>
  <si>
    <t>O.</t>
  </si>
  <si>
    <t>Harris</t>
  </si>
  <si>
    <t>910-410-1908</t>
  </si>
  <si>
    <t>Instructor-Early Childhood Education</t>
  </si>
  <si>
    <t>Lee 177</t>
  </si>
  <si>
    <t>koharris@richmondcc.edu</t>
  </si>
  <si>
    <t>Krystal Harris_web_ready.jpg</t>
  </si>
  <si>
    <t>Molly</t>
  </si>
  <si>
    <t>Hayes</t>
  </si>
  <si>
    <t>910-410-1919</t>
  </si>
  <si>
    <t>Lee 157</t>
  </si>
  <si>
    <t>mahayes@richmondcc.edu</t>
  </si>
  <si>
    <t>Molly_Hayes_web_ready.jpg</t>
  </si>
  <si>
    <t>Lia</t>
  </si>
  <si>
    <t>Hinson</t>
  </si>
  <si>
    <t>910-410-1743</t>
  </si>
  <si>
    <t>Administrative Assistant to VP of Student Services</t>
  </si>
  <si>
    <t>Lee 139</t>
  </si>
  <si>
    <t>lkhinson@richmondcc.edu</t>
  </si>
  <si>
    <t>Lia Hinson_web_ready.png</t>
  </si>
  <si>
    <t>Marie</t>
  </si>
  <si>
    <t>Hodges</t>
  </si>
  <si>
    <t>910-410-1897</t>
  </si>
  <si>
    <t>fmhodges@richmondcc.edu</t>
  </si>
  <si>
    <t>Marie Hodges_web ready.jpg</t>
  </si>
  <si>
    <t>Rebekah</t>
  </si>
  <si>
    <t>Leigh</t>
  </si>
  <si>
    <t>Hoffman</t>
  </si>
  <si>
    <t>910-410-1764</t>
  </si>
  <si>
    <t>Financial Aid Specialist</t>
  </si>
  <si>
    <t>Lee 143</t>
  </si>
  <si>
    <t>rlhoffman@richmondcc.edu</t>
  </si>
  <si>
    <t>Leigh Hoffman_web_ready.jpg</t>
  </si>
  <si>
    <t>Julie</t>
  </si>
  <si>
    <t>Hogan</t>
  </si>
  <si>
    <t>910-410-1854</t>
  </si>
  <si>
    <t>Administrative Assistant to the VP for Instruction/CAO/Executive VP</t>
  </si>
  <si>
    <t>Lindsey-Petris 101</t>
  </si>
  <si>
    <t>jahogan@richmondcc.edu</t>
  </si>
  <si>
    <t>Julie_Hogan_web_ready.jpg</t>
  </si>
  <si>
    <t>Sharon</t>
  </si>
  <si>
    <t>Hollon</t>
  </si>
  <si>
    <t>910-410-1853</t>
  </si>
  <si>
    <t>Faculty Administrative Assistant</t>
  </si>
  <si>
    <t>sshollon@richmondcc.edu</t>
  </si>
  <si>
    <t>Sharon Hollon_web_ready.png</t>
  </si>
  <si>
    <t>Cayce</t>
  </si>
  <si>
    <t>Holmes</t>
  </si>
  <si>
    <t>910-410-1721</t>
  </si>
  <si>
    <t>Registrar</t>
  </si>
  <si>
    <t>Lee 117</t>
  </si>
  <si>
    <t>ccholmes@richmondcc.edu</t>
  </si>
  <si>
    <t>Cayce_Holmes_web_ready.jpg</t>
  </si>
  <si>
    <t>Althea</t>
  </si>
  <si>
    <t>Hunsucker</t>
  </si>
  <si>
    <t>910-410-1864</t>
  </si>
  <si>
    <t>ajhunsucker@richmondcc.edu</t>
  </si>
  <si>
    <t xml:space="preserve">No </t>
  </si>
  <si>
    <t>Dr. Miriam</t>
  </si>
  <si>
    <t>Huntley</t>
  </si>
  <si>
    <t>910-410-1834</t>
  </si>
  <si>
    <t>Dean of Business Technologies and Public Services</t>
  </si>
  <si>
    <t>Robinette 123</t>
  </si>
  <si>
    <t>mbhuntley@richmondcc.edu</t>
  </si>
  <si>
    <t>Christina</t>
  </si>
  <si>
    <t>Morgan</t>
  </si>
  <si>
    <t>Idol</t>
  </si>
  <si>
    <t>910-410-1758</t>
  </si>
  <si>
    <t>cmidol@richmondcc.edu</t>
  </si>
  <si>
    <t>Morgan_Idol_web_ready.jpg</t>
  </si>
  <si>
    <t>Sally</t>
  </si>
  <si>
    <t>Ingram</t>
  </si>
  <si>
    <t>Lee Building</t>
  </si>
  <si>
    <t>spingram@richmondcc.edu</t>
  </si>
  <si>
    <t>Sally Ingram_web_ready.png</t>
  </si>
  <si>
    <t>Ivey</t>
  </si>
  <si>
    <t>910-410-1786</t>
  </si>
  <si>
    <t>Truck Driver Training Program Coordinator</t>
  </si>
  <si>
    <t>Morgan 220</t>
  </si>
  <si>
    <t>jfivey@richmondcc.edu</t>
  </si>
  <si>
    <t>Jeff Ivey_web_ready.jpg</t>
  </si>
  <si>
    <t>Emily</t>
  </si>
  <si>
    <t>Jarrell</t>
  </si>
  <si>
    <t>910-410-1724</t>
  </si>
  <si>
    <t>Director of Financial Aid</t>
  </si>
  <si>
    <t>Lee 148</t>
  </si>
  <si>
    <t>ewjarrell@richmondcc.edu</t>
  </si>
  <si>
    <t>emily Jarrell_web_ready.jpg</t>
  </si>
  <si>
    <t>Sherrie</t>
  </si>
  <si>
    <t>Jenks</t>
  </si>
  <si>
    <t>910-410-1693</t>
  </si>
  <si>
    <t>Assistant Director and Technical Coordinator-Cole Auditorium</t>
  </si>
  <si>
    <t>Cole Auditorium</t>
  </si>
  <si>
    <t>sljenks@richmondcc.edu</t>
  </si>
  <si>
    <t>Wallace</t>
  </si>
  <si>
    <t>Jones</t>
  </si>
  <si>
    <t>Facility Support Services - Cole Auditorium</t>
  </si>
  <si>
    <t>wmjones@richmondcc.edu</t>
  </si>
  <si>
    <t>Wallace Jones_web_ready.png</t>
  </si>
  <si>
    <t>John</t>
  </si>
  <si>
    <t>Kennerly</t>
  </si>
  <si>
    <t>910-410-1753</t>
  </si>
  <si>
    <t>Director of Library Services</t>
  </si>
  <si>
    <t>Conder 116</t>
  </si>
  <si>
    <t>jkennerly@richmondcc.edu</t>
  </si>
  <si>
    <t>John Kennerly_web_ready.png</t>
  </si>
  <si>
    <t>Kester</t>
  </si>
  <si>
    <t>910-410-1778</t>
  </si>
  <si>
    <t>Dean of Engineering and Trades</t>
  </si>
  <si>
    <t>Lee 172</t>
  </si>
  <si>
    <t>jikester@richmondcc.edu</t>
  </si>
  <si>
    <t>Vijay</t>
  </si>
  <si>
    <t>Khanal</t>
  </si>
  <si>
    <t>910-410-1874</t>
  </si>
  <si>
    <t xml:space="preserve">Engineering Instructor </t>
  </si>
  <si>
    <t>Forte 327</t>
  </si>
  <si>
    <t>vkhanal@richmondcc.edu</t>
  </si>
  <si>
    <t>Vijay_Khanal_web_ready.jpg</t>
  </si>
  <si>
    <t>Brennan</t>
  </si>
  <si>
    <t>Lacey</t>
  </si>
  <si>
    <t>bplacey@richmondcc.edu</t>
  </si>
  <si>
    <t>Brenan Lacey_web_ready.jpg</t>
  </si>
  <si>
    <t>Dawn</t>
  </si>
  <si>
    <t>Leviner</t>
  </si>
  <si>
    <t>910-410-1801</t>
  </si>
  <si>
    <t>Accounts Receivable/Cashier Technician</t>
  </si>
  <si>
    <t>DeWitt 200</t>
  </si>
  <si>
    <t>cdleviner@richmondcc.edu</t>
  </si>
  <si>
    <t>Dawn_Leviner_web_ready.jpg</t>
  </si>
  <si>
    <t>Shevonne</t>
  </si>
  <si>
    <t>Lockhart</t>
  </si>
  <si>
    <t>910-410-1755</t>
  </si>
  <si>
    <t>Academic Success Center Day Coordinator</t>
  </si>
  <si>
    <t>Conder 101</t>
  </si>
  <si>
    <t>smlockhart@richmondcc.edu</t>
  </si>
  <si>
    <t>Shevone Lockhart_web_ready.jpg</t>
  </si>
  <si>
    <t>Monica</t>
  </si>
  <si>
    <t>Locklear</t>
  </si>
  <si>
    <t>Assistant Café Manager</t>
  </si>
  <si>
    <t>Cafe</t>
  </si>
  <si>
    <t>mhlocklear@richmondcc.edu</t>
  </si>
  <si>
    <t>Monica_Locklear_web_ready.jpg</t>
  </si>
  <si>
    <t>Myra</t>
  </si>
  <si>
    <t>910-410-1705</t>
  </si>
  <si>
    <t>Continuing Education Operations Liaison</t>
  </si>
  <si>
    <t>Honeycutt 114</t>
  </si>
  <si>
    <t>mllocklear@richmondcc.edu</t>
  </si>
  <si>
    <t>Quentin</t>
  </si>
  <si>
    <t>910-410-1823</t>
  </si>
  <si>
    <t>Instructor- Biology</t>
  </si>
  <si>
    <t>Lee 175</t>
  </si>
  <si>
    <t>qklocklear@richmondcc.edu</t>
  </si>
  <si>
    <t>Quentin_Locklear_web_ready.jpg</t>
  </si>
  <si>
    <t>Dagoberto</t>
  </si>
  <si>
    <t>Lopez</t>
  </si>
  <si>
    <t xml:space="preserve">Spanish Instructor/ ESL </t>
  </si>
  <si>
    <t>Morgan Center</t>
  </si>
  <si>
    <t>dlopez@richmondcc.edu</t>
  </si>
  <si>
    <t>Dagoberto Lopez_web_ready.png</t>
  </si>
  <si>
    <t>Mitchell</t>
  </si>
  <si>
    <t>Lowery</t>
  </si>
  <si>
    <t>910-410-1934</t>
  </si>
  <si>
    <t>mjlowery@richmondcc.edu</t>
  </si>
  <si>
    <t>Mitchell_Lowery_web_ready.jpg</t>
  </si>
  <si>
    <t>Christy</t>
  </si>
  <si>
    <t>Mabe</t>
  </si>
  <si>
    <t>910-410-1762</t>
  </si>
  <si>
    <t>RichmondCC K-12 Liaison</t>
  </si>
  <si>
    <t>Lee 162</t>
  </si>
  <si>
    <t>clmabe@richmondcc.edu</t>
  </si>
  <si>
    <t>Christy Mabe_web_ready.jpg</t>
  </si>
  <si>
    <t>Scotty</t>
  </si>
  <si>
    <t>910-410-1684</t>
  </si>
  <si>
    <t>Director of Facility Services</t>
  </si>
  <si>
    <t>samabe@richmondcc.edu</t>
  </si>
  <si>
    <t>Scotty Mabe_web_ready.jpg</t>
  </si>
  <si>
    <t>Miyaka</t>
  </si>
  <si>
    <t>Mackie</t>
  </si>
  <si>
    <t>910-410-1875</t>
  </si>
  <si>
    <t>Administrative Assistant to Nursing Department</t>
  </si>
  <si>
    <t>mdmackie@richmondcc.edu</t>
  </si>
  <si>
    <t>Miyaka Mackie_web_ready.png</t>
  </si>
  <si>
    <t>Cynthia</t>
  </si>
  <si>
    <t>910-410-1800</t>
  </si>
  <si>
    <t>Administrative Assistant for the Executive Vice President</t>
  </si>
  <si>
    <t>camartin79@richmondcc.edu</t>
  </si>
  <si>
    <t>Kevin</t>
  </si>
  <si>
    <t>Maynard</t>
  </si>
  <si>
    <t>kemaynard@richmondcc.edu</t>
  </si>
  <si>
    <t>Kevin Maynard_web_ready.png</t>
  </si>
  <si>
    <t>David</t>
  </si>
  <si>
    <t>McDonald</t>
  </si>
  <si>
    <t>910-410-1683</t>
  </si>
  <si>
    <t>Head Groundskeeper</t>
  </si>
  <si>
    <t>djmcdonald@richmondcc.edu</t>
  </si>
  <si>
    <t>Duke McDonald_web_ready.png</t>
  </si>
  <si>
    <t xml:space="preserve">Kirsten </t>
  </si>
  <si>
    <t>910-410-1943</t>
  </si>
  <si>
    <t>Early College High School Liaison - Scotland</t>
  </si>
  <si>
    <t>Covington 06</t>
  </si>
  <si>
    <t>krmcdonald2507@richmondcc.edu</t>
  </si>
  <si>
    <t>Kirsten_McDonald_web_ready.jpg</t>
  </si>
  <si>
    <t>Tara</t>
  </si>
  <si>
    <t>McDuffie</t>
  </si>
  <si>
    <t>910-410-1769</t>
  </si>
  <si>
    <t>Morgan 206</t>
  </si>
  <si>
    <t>tdmcduffie@richmondcc.edu</t>
  </si>
  <si>
    <t>Tara_McDuffie_web_ready_2.jpg</t>
  </si>
  <si>
    <t>McKenzie</t>
  </si>
  <si>
    <t>910-410-1920</t>
  </si>
  <si>
    <t>Human Services Program Coordinator</t>
  </si>
  <si>
    <t>Grimsley 219</t>
  </si>
  <si>
    <t>ammckenzie@richmondcc.edu</t>
  </si>
  <si>
    <t>amanda mckenzie_web_ready.jpg</t>
  </si>
  <si>
    <t>McLaughlin</t>
  </si>
  <si>
    <t>910-410-1722</t>
  </si>
  <si>
    <t>Business Instructor</t>
  </si>
  <si>
    <t>Robinette 220</t>
  </si>
  <si>
    <t>Robinette</t>
  </si>
  <si>
    <t>ldmclaughlin@richmondcc.edu</t>
  </si>
  <si>
    <t>Lori McLaughlin_web_ready.jpg</t>
  </si>
  <si>
    <t>Mortimer</t>
  </si>
  <si>
    <t>Grimsley Building</t>
  </si>
  <si>
    <t>mmclaughlin@richmondcc.edu</t>
  </si>
  <si>
    <t>Mortimer McLaughlin_web_ready.jpg</t>
  </si>
  <si>
    <t>Flynne</t>
  </si>
  <si>
    <t>Meares</t>
  </si>
  <si>
    <t>910-410-1687</t>
  </si>
  <si>
    <t>Director of Small Business &amp; Entrepreneurial Services</t>
  </si>
  <si>
    <t>Robinette 120</t>
  </si>
  <si>
    <t>afmeares@richmondcc.edu</t>
  </si>
  <si>
    <t>Flynne Meares_web_ready.png</t>
  </si>
  <si>
    <t>William</t>
  </si>
  <si>
    <t>Mercer</t>
  </si>
  <si>
    <t>Instructor-Automotive Repair and Maintenance</t>
  </si>
  <si>
    <t>cwmercer@richmondcc.edu</t>
  </si>
  <si>
    <t>William_Mercer_web_ready.jpg</t>
  </si>
  <si>
    <t>Brandi</t>
  </si>
  <si>
    <t>Miller</t>
  </si>
  <si>
    <t>910-410-1748</t>
  </si>
  <si>
    <t>Assistant Director of Marketing &amp; Communications and Campus Activities</t>
  </si>
  <si>
    <t>Conder 130</t>
  </si>
  <si>
    <t>bamiller@richmondcc.edu</t>
  </si>
  <si>
    <t>Brandi Miller_web_ready.jpg</t>
  </si>
  <si>
    <t>Heath</t>
  </si>
  <si>
    <t>Milligan</t>
  </si>
  <si>
    <t>910-410-1933</t>
  </si>
  <si>
    <t>Accreditation and Compliance Specialist</t>
  </si>
  <si>
    <t>Conder 125</t>
  </si>
  <si>
    <t>jhmilligan@richmondcc.edu</t>
  </si>
  <si>
    <t>Heath Milligan_web_ready.jpg</t>
  </si>
  <si>
    <t>Laura</t>
  </si>
  <si>
    <t>Montrose</t>
  </si>
  <si>
    <t>Forte Building</t>
  </si>
  <si>
    <t>lmmontrose@richmondcc.edu</t>
  </si>
  <si>
    <t>Laura_Montrose_web_ready.jpg</t>
  </si>
  <si>
    <t>Lee</t>
  </si>
  <si>
    <t>910-410-1813</t>
  </si>
  <si>
    <t xml:space="preserve">Associate Vice President for Information Technology and Chief Information Officer </t>
  </si>
  <si>
    <t>DeWitt 100</t>
  </si>
  <si>
    <t>ljmontrose@richmondcc.edu</t>
  </si>
  <si>
    <t>Lee_Montrose_web_ready.jpg</t>
  </si>
  <si>
    <t>Dr. Qunna</t>
  </si>
  <si>
    <t>Morrow</t>
  </si>
  <si>
    <t>910-410-1751</t>
  </si>
  <si>
    <t>Dean of Allied Health and Human Services</t>
  </si>
  <si>
    <t>Lee 158</t>
  </si>
  <si>
    <t>qmorrow@richmondcc.edu</t>
  </si>
  <si>
    <t>Qunna Morrow_web_ready.png</t>
  </si>
  <si>
    <t>Lula</t>
  </si>
  <si>
    <t>Morton</t>
  </si>
  <si>
    <t>Evening Lee Building</t>
  </si>
  <si>
    <t>llmorton@richmondcc.edu</t>
  </si>
  <si>
    <t>Lula Morton_web_ready.png</t>
  </si>
  <si>
    <t>Motley</t>
  </si>
  <si>
    <t>910-410-1805</t>
  </si>
  <si>
    <t>Accounting Technician-Payroll</t>
  </si>
  <si>
    <t>asmotley@richmondcc.edu</t>
  </si>
  <si>
    <t>Amanda Motley_web_ready.jpg</t>
  </si>
  <si>
    <t>Lara</t>
  </si>
  <si>
    <t>Nosser</t>
  </si>
  <si>
    <t>910-410-1869</t>
  </si>
  <si>
    <t>Department Chair for English</t>
  </si>
  <si>
    <t>Lindsey-Petris 117- A</t>
  </si>
  <si>
    <t>ljnosser@richmondcc.edu</t>
  </si>
  <si>
    <t>Laura_Nosser_web_ready.png</t>
  </si>
  <si>
    <t>Hunter</t>
  </si>
  <si>
    <t>O'Neal</t>
  </si>
  <si>
    <t>910-410-1819</t>
  </si>
  <si>
    <t>Covington 17</t>
  </si>
  <si>
    <t>whoneal@richmondcc.edu</t>
  </si>
  <si>
    <t>Hunter O'Neal_web_ready.jpg</t>
  </si>
  <si>
    <t xml:space="preserve">Daniel </t>
  </si>
  <si>
    <t>Oliver</t>
  </si>
  <si>
    <t xml:space="preserve">Groundskeeper </t>
  </si>
  <si>
    <t>dcoliver@richmondcc.edu</t>
  </si>
  <si>
    <t>Danny_Oliver_web_ready.jpg</t>
  </si>
  <si>
    <t>Nikki</t>
  </si>
  <si>
    <t>Page</t>
  </si>
  <si>
    <t>910-410-1844</t>
  </si>
  <si>
    <t>Continuing Education Program Specialist</t>
  </si>
  <si>
    <t>Lee 124</t>
  </si>
  <si>
    <t>nhpage@richmondcc.edu</t>
  </si>
  <si>
    <t>Nikki Page_web_ready.jpg</t>
  </si>
  <si>
    <t>Julia</t>
  </si>
  <si>
    <t>Parks</t>
  </si>
  <si>
    <t>910-410-1905</t>
  </si>
  <si>
    <t>Lee 22</t>
  </si>
  <si>
    <t>jpparks@richmondcc.edu</t>
  </si>
  <si>
    <t>Parsons</t>
  </si>
  <si>
    <t>910-410-1918</t>
  </si>
  <si>
    <t>Executive Vice President and Chief Academic Officer</t>
  </si>
  <si>
    <t>ksparsons@richmondcc.edu</t>
  </si>
  <si>
    <t>Kevin Parsons_web_ready.jpg</t>
  </si>
  <si>
    <t>Kimberly</t>
  </si>
  <si>
    <t>910-410-1898</t>
  </si>
  <si>
    <t>knparsons@richmondcc.edu</t>
  </si>
  <si>
    <t>Kim_Parsons_web_ready.jpg</t>
  </si>
  <si>
    <t>Teena</t>
  </si>
  <si>
    <t>910-410-1810</t>
  </si>
  <si>
    <t>Executive Assistant to the President</t>
  </si>
  <si>
    <t>DeWitt Administration Office</t>
  </si>
  <si>
    <t>tlparsons@richmondcc.edu</t>
  </si>
  <si>
    <t>Teena_Parsons_web_ready.jpg</t>
  </si>
  <si>
    <t>Shuler</t>
  </si>
  <si>
    <t>Gibby</t>
  </si>
  <si>
    <t>Peele</t>
  </si>
  <si>
    <t>910-410-1939</t>
  </si>
  <si>
    <t>Industrial Systems Program Coordinator</t>
  </si>
  <si>
    <t>sgpeele@richmondcc.edu</t>
  </si>
  <si>
    <t>Gibby_Peele_web_ready.jpg</t>
  </si>
  <si>
    <t>Jane</t>
  </si>
  <si>
    <t>Perry</t>
  </si>
  <si>
    <t>910-410-1779</t>
  </si>
  <si>
    <t>Accountability Specialist</t>
  </si>
  <si>
    <t>Lee 159</t>
  </si>
  <si>
    <t>bjperry@richmondcc.edu</t>
  </si>
  <si>
    <t>Jane perry_web_ready.png</t>
  </si>
  <si>
    <t>Robert</t>
  </si>
  <si>
    <t>Player</t>
  </si>
  <si>
    <t>910-410-1884</t>
  </si>
  <si>
    <t>rlplayer@richmondcc.edu</t>
  </si>
  <si>
    <t>Robert_Player_web_ready.png</t>
  </si>
  <si>
    <t>Dora</t>
  </si>
  <si>
    <t>Kay</t>
  </si>
  <si>
    <t>Privette</t>
  </si>
  <si>
    <t>910-410-1882</t>
  </si>
  <si>
    <t>dsprivette@richmondcc.edu</t>
  </si>
  <si>
    <t>Kay_Privette_web_ready.jpg</t>
  </si>
  <si>
    <t>Dana</t>
  </si>
  <si>
    <t>Quick</t>
  </si>
  <si>
    <t>910-410-1881</t>
  </si>
  <si>
    <t>Director of Nursing</t>
  </si>
  <si>
    <t>Grimsley 126</t>
  </si>
  <si>
    <t>dpquick@richmondcc.edu</t>
  </si>
  <si>
    <t>Dana_Quick_web_ready.png</t>
  </si>
  <si>
    <t>Savannah</t>
  </si>
  <si>
    <t>910-410-1706</t>
  </si>
  <si>
    <t>Continuing Education Program Development Coordinator</t>
  </si>
  <si>
    <t>Lee 125</t>
  </si>
  <si>
    <t>srquick@richmondcc.edu</t>
  </si>
  <si>
    <t>Savannah Quick_web_ready.png</t>
  </si>
  <si>
    <t>Sheila</t>
  </si>
  <si>
    <t>Regan</t>
  </si>
  <si>
    <t>910-410-1909</t>
  </si>
  <si>
    <t>Early Childhood Education Program Chair</t>
  </si>
  <si>
    <t>saregan@richmondcc.edu</t>
  </si>
  <si>
    <t>Sheila Regan_web_ready.jpg</t>
  </si>
  <si>
    <t>Judy</t>
  </si>
  <si>
    <t>Roberts</t>
  </si>
  <si>
    <t>910-410-1703</t>
  </si>
  <si>
    <t>Assistant Registrar</t>
  </si>
  <si>
    <t>Lee 134</t>
  </si>
  <si>
    <t>jcroberts@richmondcc.edu</t>
  </si>
  <si>
    <t>Judy_Roberts_web_ready.png</t>
  </si>
  <si>
    <t xml:space="preserve">Johnathan </t>
  </si>
  <si>
    <t>Rogers</t>
  </si>
  <si>
    <t>910-410-1843</t>
  </si>
  <si>
    <t>Evening Custodian - Scotland Facilities</t>
  </si>
  <si>
    <t>Morgan Building</t>
  </si>
  <si>
    <t>Scotland Campus</t>
  </si>
  <si>
    <t>jdrogers@richmondcc.edu</t>
  </si>
  <si>
    <t>Johnathan_Rodgers_web_ready.jpg</t>
  </si>
  <si>
    <t>Kathleen</t>
  </si>
  <si>
    <t>Rozanski</t>
  </si>
  <si>
    <t>910-410-1861</t>
  </si>
  <si>
    <t>Instructor-American Sign Language</t>
  </si>
  <si>
    <t>Lindsey-Petris 117-B</t>
  </si>
  <si>
    <t>kmrozanski@richmondcc.edu</t>
  </si>
  <si>
    <t>Kathleen Rozanski_web_ready.jpg</t>
  </si>
  <si>
    <t>Ruperd</t>
  </si>
  <si>
    <t>jrruperd@richmondcc.edu</t>
  </si>
  <si>
    <t>Joseph Ruperd_web_ready.png</t>
  </si>
  <si>
    <t>Darlene</t>
  </si>
  <si>
    <t xml:space="preserve">S. </t>
  </si>
  <si>
    <t>Rutherford</t>
  </si>
  <si>
    <t>Lindsey-Petris</t>
  </si>
  <si>
    <t>dsrutherford@richmondcc.edu</t>
  </si>
  <si>
    <t>HVAC and Maintenance Technician</t>
  </si>
  <si>
    <t>jrrutherford256@richmondcc.edu</t>
  </si>
  <si>
    <t>Jamie</t>
  </si>
  <si>
    <t>Sadler</t>
  </si>
  <si>
    <t>910-410-1862</t>
  </si>
  <si>
    <t>Lindsey-Petris 117-G</t>
  </si>
  <si>
    <t>jesadler@richmondcc.edu</t>
  </si>
  <si>
    <t xml:space="preserve">A. </t>
  </si>
  <si>
    <t>Saiz</t>
  </si>
  <si>
    <t>910-410-1942</t>
  </si>
  <si>
    <t>Forte 326</t>
  </si>
  <si>
    <t>jasaiz@richmondcc.edu</t>
  </si>
  <si>
    <t>James_Siaz_web_ready.jpg</t>
  </si>
  <si>
    <t>Edwin</t>
  </si>
  <si>
    <t>Schlyer</t>
  </si>
  <si>
    <t>Maintenance Supervisor - Scotland Facilities</t>
  </si>
  <si>
    <t>Honeycutt 133</t>
  </si>
  <si>
    <t>efschlyer@richmondcc.edu</t>
  </si>
  <si>
    <t>Eddie Schyler_web_ready.jpg</t>
  </si>
  <si>
    <t>Jamison</t>
  </si>
  <si>
    <t>Sears</t>
  </si>
  <si>
    <t>910-410-1767</t>
  </si>
  <si>
    <t>911 Communications &amp; Operations Program Coordinator</t>
  </si>
  <si>
    <t>jssears@richmondcc.edu</t>
  </si>
  <si>
    <t>Jamison Sears_web_ready.png</t>
  </si>
  <si>
    <t>Lee Anne</t>
  </si>
  <si>
    <t>Sessoms</t>
  </si>
  <si>
    <t>910-410-1931</t>
  </si>
  <si>
    <t>Career Coach - Scotland</t>
  </si>
  <si>
    <t>Scotland High School</t>
  </si>
  <si>
    <t>Scotland County</t>
  </si>
  <si>
    <t>lasessoms@richmondcc.edu</t>
  </si>
  <si>
    <t>Lee_Anne_Sessoms_web_ready.png</t>
  </si>
  <si>
    <t>Shaw</t>
  </si>
  <si>
    <t>910-410-1729</t>
  </si>
  <si>
    <t>Evening Counselor</t>
  </si>
  <si>
    <t>Lee 122</t>
  </si>
  <si>
    <t>crshaw@richmondcc.edu</t>
  </si>
  <si>
    <t>Crystal Shaw_web_ready.jpg</t>
  </si>
  <si>
    <t>Shepard</t>
  </si>
  <si>
    <t>910-410-1727</t>
  </si>
  <si>
    <t>Financial Aid Specialist/VA Certifying Official</t>
  </si>
  <si>
    <t>Lee 147</t>
  </si>
  <si>
    <t>ccshepard@richmondcc.edu</t>
  </si>
  <si>
    <t>Crystal Shepard_web_ready.png</t>
  </si>
  <si>
    <t>Dr. Wendy</t>
  </si>
  <si>
    <t>910-410-1807</t>
  </si>
  <si>
    <t>Associate Vice President of Development</t>
  </si>
  <si>
    <t>DeWitt 206</t>
  </si>
  <si>
    <t>wkjordan@richmondcc.edu</t>
  </si>
  <si>
    <t>New photo</t>
  </si>
  <si>
    <t>Wendy_Jordan_web_ready.png</t>
  </si>
  <si>
    <t>Rhonda</t>
  </si>
  <si>
    <t>Singleton</t>
  </si>
  <si>
    <t>910-410-1686</t>
  </si>
  <si>
    <t>Career Coach - Richmond</t>
  </si>
  <si>
    <t>Richmond Senior High School</t>
  </si>
  <si>
    <t>Richmond County</t>
  </si>
  <si>
    <t>rsingleton@richmondcc.edu</t>
  </si>
  <si>
    <t>Sligh</t>
  </si>
  <si>
    <t>910-410-1735</t>
  </si>
  <si>
    <t>Lee 132</t>
  </si>
  <si>
    <t>aasligh@richmondcc.edu</t>
  </si>
  <si>
    <t>Ashley Sligh_web_ready.png</t>
  </si>
  <si>
    <t>Leslie</t>
  </si>
  <si>
    <t>Smith</t>
  </si>
  <si>
    <t>910-410-1719</t>
  </si>
  <si>
    <t>lgsmith@richmondcc.edu</t>
  </si>
  <si>
    <t>Leslie_Smith_web_ready.jpg</t>
  </si>
  <si>
    <t>Chastity</t>
  </si>
  <si>
    <t>Robin</t>
  </si>
  <si>
    <t>910-410-1866</t>
  </si>
  <si>
    <t>Criminal Justice Program Coordinator</t>
  </si>
  <si>
    <t>Lindsey-Petris 132</t>
  </si>
  <si>
    <t>crsmith@richmondcc.edu</t>
  </si>
  <si>
    <t>Robin Smith_web_ready.jpg</t>
  </si>
  <si>
    <t>Smoot</t>
  </si>
  <si>
    <t>910-410-1816</t>
  </si>
  <si>
    <t>Print Technician</t>
  </si>
  <si>
    <t>Lee 200</t>
  </si>
  <si>
    <t>tasmoot@richmondcc.edu</t>
  </si>
  <si>
    <t>Tim Smoot_web_ready.png</t>
  </si>
  <si>
    <t>Spivey</t>
  </si>
  <si>
    <t>910-410-1763</t>
  </si>
  <si>
    <t>Café Manager</t>
  </si>
  <si>
    <t>RichmondCC Café</t>
  </si>
  <si>
    <t>jjspivey@richmondcc.edu</t>
  </si>
  <si>
    <t xml:space="preserve">new picture </t>
  </si>
  <si>
    <t>Josh_Spivey_web_ready.jpg</t>
  </si>
  <si>
    <t>Patsy</t>
  </si>
  <si>
    <t>Stanley</t>
  </si>
  <si>
    <t>910-410-1830</t>
  </si>
  <si>
    <t>Associate Vice President of Student Services</t>
  </si>
  <si>
    <t>Lee 113</t>
  </si>
  <si>
    <t>pjstanley@richmondcc.edu</t>
  </si>
  <si>
    <t>Patsy_Stanley_web_ready.jpg</t>
  </si>
  <si>
    <t>Trinity</t>
  </si>
  <si>
    <t>910-410-1711</t>
  </si>
  <si>
    <t>trstanley@richmondcc.edu</t>
  </si>
  <si>
    <t>Trinity Stanley_web_ready.jpg</t>
  </si>
  <si>
    <t>Shae</t>
  </si>
  <si>
    <t>Stewart</t>
  </si>
  <si>
    <t>910-410-1759</t>
  </si>
  <si>
    <t>Lee 102</t>
  </si>
  <si>
    <t>dsstewart9287@richmondcc.edu</t>
  </si>
  <si>
    <t>Shae Stewart_web_ready.png</t>
  </si>
  <si>
    <t>Gina</t>
  </si>
  <si>
    <t>Stocks</t>
  </si>
  <si>
    <t>910-410-1886</t>
  </si>
  <si>
    <t>ghstocks@richmondcc.edu</t>
  </si>
  <si>
    <t>Gina_Stocks_web_ready.jpg</t>
  </si>
  <si>
    <t>Danny</t>
  </si>
  <si>
    <t>Taylor</t>
  </si>
  <si>
    <t>Custodian - Scotland Facilities</t>
  </si>
  <si>
    <t>Covington Building</t>
  </si>
  <si>
    <t>dwtaylor@richmondcc.edu</t>
  </si>
  <si>
    <t>Danny Taylor_web_ready.jpg</t>
  </si>
  <si>
    <t xml:space="preserve">Kayla </t>
  </si>
  <si>
    <t>910-410-1716</t>
  </si>
  <si>
    <t>kctaylor@richmondcc.edu</t>
  </si>
  <si>
    <t>Kayla_Taylor_web_ready.jpg</t>
  </si>
  <si>
    <t>Terry</t>
  </si>
  <si>
    <t>910-410-1941</t>
  </si>
  <si>
    <t>Electric Utility Substation and Relay Technology Program Coordinator</t>
  </si>
  <si>
    <t>cbterry@richmondcc.edu</t>
  </si>
  <si>
    <t>Brian Terry_web_ready.jpg</t>
  </si>
  <si>
    <t>Chihoko</t>
  </si>
  <si>
    <t>910-410-1821</t>
  </si>
  <si>
    <t>Director of Institutional Research</t>
  </si>
  <si>
    <t>Conder 202</t>
  </si>
  <si>
    <t>ckterry@richmondcc.edu</t>
  </si>
  <si>
    <t>Chihoko Terry_web_ready.jpg</t>
  </si>
  <si>
    <t xml:space="preserve">M. </t>
  </si>
  <si>
    <t>910-410-1859</t>
  </si>
  <si>
    <t>jmthomas@richmondcc.edu</t>
  </si>
  <si>
    <t>Jamie_Thomas_web_ready.jpg</t>
  </si>
  <si>
    <t>Winston</t>
  </si>
  <si>
    <t>Keith</t>
  </si>
  <si>
    <t>910-410-1707</t>
  </si>
  <si>
    <t>Director of Law Enforcement Training</t>
  </si>
  <si>
    <t>Lee 151</t>
  </si>
  <si>
    <t>wkthomas@richmondcc.edu</t>
  </si>
  <si>
    <t>Keith Thomas_web_ready.png</t>
  </si>
  <si>
    <t>Natalie</t>
  </si>
  <si>
    <t>Thompson</t>
  </si>
  <si>
    <t>910-410-1893</t>
  </si>
  <si>
    <t>nlthompson@richmondcc.edu</t>
  </si>
  <si>
    <t>new Picture</t>
  </si>
  <si>
    <t>Natalie_Thompson_web_ready.jpg</t>
  </si>
  <si>
    <t>Wagers</t>
  </si>
  <si>
    <t>Jr.</t>
  </si>
  <si>
    <t>910-410-1913</t>
  </si>
  <si>
    <t>Lee 154</t>
  </si>
  <si>
    <t>jpwagers@richmondcc.edu</t>
  </si>
  <si>
    <t>Luke</t>
  </si>
  <si>
    <t>Vuncannon</t>
  </si>
  <si>
    <t>Evening Facility Support Staff - Cole Auditorium</t>
  </si>
  <si>
    <t>lavuncannon@richmondcc.edu</t>
  </si>
  <si>
    <t>Luke_Vuncannon_web_ready.jpg</t>
  </si>
  <si>
    <t>Wall</t>
  </si>
  <si>
    <t>910-410-1970</t>
  </si>
  <si>
    <t>Administrative Assistant - Richmond County</t>
  </si>
  <si>
    <t>mmwall@richmondcc.edu</t>
  </si>
  <si>
    <t>Michelle_Wall_web_ready.jpg</t>
  </si>
  <si>
    <t>Watkins</t>
  </si>
  <si>
    <t>910-410-1900</t>
  </si>
  <si>
    <t>Instructor - Physics</t>
  </si>
  <si>
    <t>jwwatkins@richmondcc.edu</t>
  </si>
  <si>
    <t>Austin</t>
  </si>
  <si>
    <t>Webster</t>
  </si>
  <si>
    <t>910-410-1929</t>
  </si>
  <si>
    <t>ajwebster@richmondcc.edu</t>
  </si>
  <si>
    <t>Austin Webster_web_ready.jpg</t>
  </si>
  <si>
    <t>White</t>
  </si>
  <si>
    <t>wtwhite@richmondcc.edu</t>
  </si>
  <si>
    <t>William Wright_web_ready.png</t>
  </si>
  <si>
    <t>Amy</t>
  </si>
  <si>
    <t>Williams</t>
  </si>
  <si>
    <t>910-410-1924</t>
  </si>
  <si>
    <t>Instructor-Psychology</t>
  </si>
  <si>
    <t>adwilliams6841@richmondcc.edu</t>
  </si>
  <si>
    <t>Amy Williams_web_ready.jpg</t>
  </si>
  <si>
    <t xml:space="preserve">Brenna </t>
  </si>
  <si>
    <t xml:space="preserve">J. </t>
  </si>
  <si>
    <t>Wilson</t>
  </si>
  <si>
    <t>910-410-1700</t>
  </si>
  <si>
    <t>Front Desk Student Support Specialist</t>
  </si>
  <si>
    <t>Lee Building Front Desk</t>
  </si>
  <si>
    <t>jbwilson4382@richmondcc.edu</t>
  </si>
  <si>
    <t>Jacquline_Wilson_web_ready.jpg</t>
  </si>
  <si>
    <t>Danielle</t>
  </si>
  <si>
    <t>V.</t>
  </si>
  <si>
    <t xml:space="preserve">Wilson </t>
  </si>
  <si>
    <t>Evening Receptionist</t>
  </si>
  <si>
    <t>dvwilson@richmondcc.edu</t>
  </si>
  <si>
    <t>Danielle_Wilson_web_ready.jpg</t>
  </si>
  <si>
    <t>Dennis</t>
  </si>
  <si>
    <t>dawilson498@richmondcc.edu</t>
  </si>
  <si>
    <t>Wincklhofer</t>
  </si>
  <si>
    <t>910-410-1840</t>
  </si>
  <si>
    <t>EMS Program Coordinator</t>
  </si>
  <si>
    <t>jcwincklhofer@richmondcc.edu</t>
  </si>
  <si>
    <t>Joe_Wincklhofer_web_ready.jpg</t>
  </si>
  <si>
    <t>Woodard</t>
  </si>
  <si>
    <t>910-410-1723</t>
  </si>
  <si>
    <t>Assistant Director of Financial Aid</t>
  </si>
  <si>
    <t>dpwoodard@richmondcc.edu</t>
  </si>
  <si>
    <t>Dawn woodard_web_ready.png</t>
  </si>
  <si>
    <t>Nicole</t>
  </si>
  <si>
    <t>Worley</t>
  </si>
  <si>
    <t>910-410-1863</t>
  </si>
  <si>
    <t>Dean of Adult Education</t>
  </si>
  <si>
    <t>ndworley@richmondcc.edu</t>
  </si>
  <si>
    <t>Nicole Worley_web_ready.png</t>
  </si>
  <si>
    <t>X</t>
  </si>
  <si>
    <t>910-410-1846</t>
  </si>
  <si>
    <t>Dept Chair/Program Coordinator-Instructor-A/C, Heating &amp; Refrigeration</t>
  </si>
  <si>
    <t>mnx@richmondcc.edu</t>
  </si>
  <si>
    <t>Marcus X_web_ready.jpg</t>
  </si>
  <si>
    <t>Matthew</t>
  </si>
  <si>
    <t>Zullo</t>
  </si>
  <si>
    <t>(910) 410-1902</t>
  </si>
  <si>
    <t>mdzullo@richmondcc.edu</t>
  </si>
  <si>
    <t>Matt Zullo_web_ready.jpg</t>
  </si>
  <si>
    <t>School/Agreement Name</t>
  </si>
  <si>
    <t>Brief description</t>
  </si>
  <si>
    <t>Degree Plans for Community College Transfer Students</t>
  </si>
  <si>
    <t>Aggie Plus Program</t>
  </si>
  <si>
    <t xml:space="preserve">THE AGGIE PLUS PROGRAM is a  guaranteed admissions program designed to provide prospective RichmondCC transfer students a seamless transition to NC A&amp;T.  This program will provide transfer students targeted advising from an Aggie Plus advisor at RichmondCC and NC A&amp;T; priority review in the university's admissions process; an Aggie Plus program orientation session at RichmondCC at the beginning of each fall term; and an Aggie Plus program visit day at A&amp;T during the spring term. </t>
  </si>
  <si>
    <t>https://www.ncat.edu/admissions/transfer-admissions/aggie-plus-program.php</t>
  </si>
  <si>
    <t>Appalachian State University</t>
  </si>
  <si>
    <t>https://www.cfnc.org/plan-your-future/plan-for-college/transfer-student-planner/to-unc-system-institutions/transfer-guides/</t>
  </si>
  <si>
    <t>Richmond Community College students graduating from the Associates of Nursing program with no less than a "C" in any course, whom possess an unencumbered RN license, and whom meet the other application requirements shall... be awarded 60 nursing course credits in recognition of possession of an unencumbered RN license. Additionally, they will be pre approved for acceptance into Aspen University's 10 course Bachelor of Science in Nursing Completion Program, and receive a 10% tuition discount for the RN to BSN program.</t>
  </si>
  <si>
    <t>https://aspen.smartcatalogiq.com/en/academic-year-2024-2025/academic-catalog/academic-information-and-policies/transfer-credit-policy/</t>
  </si>
  <si>
    <t>BraveStep</t>
  </si>
  <si>
    <t xml:space="preserve">BraveStep creates a pathway for prospective UNC Pembroke students to begin their college career at RichmondCC and transfer to UNCP after completing 30 credit hours. Qualified applicants who are selected will be co-admitted to UNCP and RichmondCC. BraveStep students will be members of UNCP BraveNation from day one. They will have a UNCP student ID and access to all campus resources, programming and admission to athletic events and Givens Performing Arts Center events. BraveStep students will receive academic advising from both institutions through a collaborative model designed to provide support and guidance every step of the way.
</t>
  </si>
  <si>
    <t>https://applytouncp.force.com/apply/TX_SiteLogin?startURL=%2Fapply%2FTargetX_Portal__PB</t>
  </si>
  <si>
    <t>Bulldog Bound</t>
  </si>
  <si>
    <t>The Richmond Community College Guarantee Partnership with Gardner-Webb University provides a seamless AA/AS/AAS pathway for Richmond Community College Guarantee students to their choice of the traditional undergraduate residential program on the Boiling Springs campus or the Degree Completion Program offered fully online. Students who qualify for the Richmond Community College Guarantee are dually accepted into Gardner-Webb as part of the acceptance process at RichmondCommunity College.</t>
  </si>
  <si>
    <t>https://gardner-webb.edu/admissions-aid/transfer-students/equivalencies/articulation-agreements/bulldgo-bound-richmondcc/</t>
  </si>
  <si>
    <t>The Fair Transfer Promise Agreement enables registered nurses who have graduated from a North Carolina community college AAS nursing program to complete a common list of courses that meet the entrance requirements for the Carolinas College RN to BSN program. By completing Blocks 1-3 below, these students will receive at least 89 semester hours of academic credit upon admission to the college. Transfer courses that do not originate in a North Carolina Community College may be used if the courses were completed at a regionally accredited institution of higher education or the courses are known to be equivalent in breadth, depth, and content to those offered at Carolinas College.</t>
  </si>
  <si>
    <t>https://atriumhealth.org/education/carolinas-college-of-health-sciences</t>
  </si>
  <si>
    <t>This agreement pertains to RichmondCC graduates who earn their Associate of Applied Science (A.A.S) Degrees in Business Administration, Criminal Justice, or Human Services through RichmondCC and who desire to earn their Bachelor of Science (B.S.) Degrees in Business Management, Criminology, or Psychology through Coker College's 100% online program. In addition to Coker College's online programs, this agreement also allows RichmondCC students to attend the traditional programs offered through Coker College. Coker College will accept completion of the associate as acceptance into the program. Grades lower than a C will not transfer.</t>
  </si>
  <si>
    <t>https://www.coker.edu/admissions/bridge-programs/richmond-community-college/</t>
  </si>
  <si>
    <t>The purpose of this agreement is to provide a seamless transition from the AAS Degree in Criminal Justice Program to the Online BA Degree in Criminal Justice at Columbia College. Students must have a 2.0 GPA.  Thirty credit hours must be taken at Columbia College to earn a BA degree.</t>
  </si>
  <si>
    <t>https://www.columbiasc.edu/</t>
  </si>
  <si>
    <t>Community College Collaboration (C3)</t>
  </si>
  <si>
    <t>A student meeting the eligibility requirements above will have fulfilled the Carolinas College RN to BSN program entry requirements and would receive guaranteed admission to the program with the start date determined by availability.</t>
  </si>
  <si>
    <t>https://c3.ncsu.edu/about/</t>
  </si>
  <si>
    <t>C-STEP</t>
  </si>
  <si>
    <t>The Carolina Student Excellence Program (C-STEP) guarantees transfer admission to the University of North Carolina Chapel Hill for students who earn an associates degree and successfully complete the C-STEP program at Richmond Community College.
C-STEP students get support from a network of peer and faculty mentors who help them succeed both at Richmond Community College and after they transition to Carolina.</t>
  </si>
  <si>
    <t>https://admissions.unc.edu/apply/types-of-applications/c-step/</t>
  </si>
  <si>
    <t>East Carolina University</t>
  </si>
  <si>
    <t>ECU accepts all transfers from RichmondCC, provided the student meets the transfer criteria. In addition, ECU also participates in the SECU Partnership East program, which allows RichmondCC students to transfer to ECU and receive a four year degree in either Elementary Education, Middle Grades Education, or Special Education after completing their first two years at RichmondCC.</t>
  </si>
  <si>
    <t>Elizabeth City State University</t>
  </si>
  <si>
    <t>Excelsior College accepts transfers from RichmondCC's EUSRT program in the BS in Electrical Engineering Technology and a BPS Technology Management, Electrical Technology. To be guaranteed admission under this agreement, graduates must transfer with an associate degree with a minimum GPA of 2.0. Eligible graduates have the ability to maximize their transfer credits, specifically the ability to transfer approx. 90 credits. Students transferring from RichmondCC will save $100 per credit hour.</t>
  </si>
  <si>
    <t>https://www.excelsior.edu/partner/richmond-community-college-nc/</t>
  </si>
  <si>
    <t>Fayetteville State University</t>
  </si>
  <si>
    <t>Upon application, Franklin University will guarantee acceptance of all RichmondCC graduates with an Associate in Arts, Associate in Science, or Associate of Applied Science degree. Transfer students, upon acceptance will have junior standing at Franklin University. Students may transfer additional credits (up to a maximum of 94 semester credit hours) toward their baccalaureate degree. Students must complete a mminimum of 30 credit hours at Franklin University to be eligible for the Bachelor of Science degree.</t>
  </si>
  <si>
    <t>https://www.franklin.edu/info/cca-richmond-community-college-info</t>
  </si>
  <si>
    <t>Community College and Gardner-Webb University are constantly striving to enhance community college student access to Gardner-Webb programs and degrees. The parties recognize that curricular changes occur periodically, and that executing a new agreement each time either party makes a change is inefficient and burdensome. Therefore, to the extent that either party makes curricular changes that are purely technical in nature or that serve to enhance community college students’ ability to matriculate to Gardner-Webb, either party may implement such changes upon providing prior notice to the other party, to include the specific proposed changes. Unless either party objects within 30 days of notice, the curricular changes shall go into effect at that time, and the attached Transfer Pathway Plan will be so amended as necessary to reflect the changes. To the extent that the AAS Transfer Pathway Plan is changed, Gardner-Webb will provide a revised version and post it on its website. Any other types of changes shall be in writing and be executed by authorized representatives of each institution.</t>
  </si>
  <si>
    <t xml:space="preserve">https://gardner-webb.edu/admissions-aid/transfer-students/equivalencies/articulation-agreements/comprehensive-associate-of-applied-science-pathway-agreement/ </t>
  </si>
  <si>
    <t>Each student seeking to transfer from Richmond CC to LMC will be admitted and earn the necessary academic credits needed through a state-wide articulation agreement, an institutional program-to-program articulation agreement, or a transfer credit evaluation. Furthermore, Richmond CC students admitted to LMC will receive academic merit scholarships that range in amounts up to and including 60% off I-MC annual tuition. These merit-based awards are greater than amounts other transfers to I-MC will receive and are guaranteed for the duration of the student's stay at I-MC, provided the student remains in good academic standing.</t>
  </si>
  <si>
    <t>https://www.lmc.edu/online-programs/community-college-partners.htm</t>
  </si>
  <si>
    <t>Meredith College</t>
  </si>
  <si>
    <t>Meredith College is a signatory school on articulation agreements with the North Carolina Community College System. These agreements makes it easier for students to complete four-year degrees at Meredith. Programs that Meredith accepts are:  Associate in Arts, Associate in Science, Associate in Arts/Science Teacher Prep, and Associate in Fine Arts.</t>
  </si>
  <si>
    <t>https://www.meredith.edu/registrar/transfer-information</t>
  </si>
  <si>
    <t>Mount Vernon Nazarene University</t>
  </si>
  <si>
    <t xml:space="preserve">This partnership allows a seamless transfer from RichmondCC AAS in Human Services to MVNU's BS in Social Work. MVNU's Bachelor of Social Work Program is online and accreditied by the Council of Social Work Education. The program can be completed in two and a half years, and classes can be takn year-round, one at a time. Upon completion, graduates will be qualified to take the exam to become a licensed social worker. </t>
  </si>
  <si>
    <t>https://mvnu.edu/apply/apply-transfer-student/</t>
  </si>
  <si>
    <t>NC A&amp;T State University</t>
  </si>
  <si>
    <t>This agreement pertains to RichmondCC graduates who earn their Associate of Applied Science (A.A.S) Degrees in Computer Engineering Technology, IT-Software and Development, IT-Support, IT-Support (Healthcare), and IT Cyber Security.  This agreement allows the student to transfer into the BS in Information Technology at NC A&amp;T. Students must maintain a 2.0 to be admitted.</t>
  </si>
  <si>
    <t>NC Central University</t>
  </si>
  <si>
    <t>NC Central University is a signatory school on articulation agreements with the North Carolina Community College System. These agreements makes it easier for students to complete four-year degrees at NCCU. Programs that NCCU accepts are:  Associate in Arts, Associate in Science, Associate in Arts/Science Teacher Prep, and Associate in Engineering.</t>
  </si>
  <si>
    <t>NC State University is a signatory school on articulation agreements with the North Carolina Community College System. These agreements makes it easier for students to complete four-year degrees at NCSU. Programs that NCSU accepts are:  Associate in Arts,  Associate in Science and Associate in Engineering.</t>
  </si>
  <si>
    <t>NC Wesleyan College</t>
  </si>
  <si>
    <t>North Carolina Wesleyan College agrees to grant any student who is the recipient of a Criminal Justice associate degree from Richmond Community College, sixty hours towards the baccalaureate degree and junior standing. Wesleyan will also provide Richmond Community College with a complete list of courses we accept from NC Community Colleges and how they transfer to North Carolina Wesleyan College. The coursework for the Bachelor of Arts degree in Criminal Justice will be offered 100% online.</t>
  </si>
  <si>
    <t>https://ncwu.edu/academics/partnerships/community-college-transfer-credit-partnerships/</t>
  </si>
  <si>
    <t>PathWays</t>
  </si>
  <si>
    <t xml:space="preserve">UNCW works closely with Richmond Community College to ensure a seamless transfer process. The PathWays program is a pathway for guaranteed admission to UNCW for students completing an Associate of Arts, Associate of Science, or Associate of Engineering with a cumulative GPA of at least a 2.5 (on a 4.0 scale) in transferable college-level coursework. 
</t>
  </si>
  <si>
    <t>https://uncw.edu/admissions/undergraduate/transfer/nc-community/</t>
  </si>
  <si>
    <t xml:space="preserve">This is agreement facilitates the transfer of students with an Applied Science Degree in Business Administration, Criminal Justice and Nursing (RN-BSN). Students must maintain a 2.0 GPA to be admitted.  Application fees are waived. </t>
  </si>
  <si>
    <t>https://www.pfeiffer.edu/admissions/degree-completion-admissions/transfer-students-degree-completion/</t>
  </si>
  <si>
    <t>Pirate Promise</t>
  </si>
  <si>
    <t>Guaranteed ECU admission for qualified students attending Richmond Community College.  ECU extends an invitation to participate from RichmondCC before you graduate and transfer.  Pirate Promise is the starting point for students to attend special events, get advising and have support as you transition to ECU.</t>
  </si>
  <si>
    <t>https://piratepromise.ecu.edu/</t>
  </si>
  <si>
    <t>Queens University</t>
  </si>
  <si>
    <t xml:space="preserve">Richmond Community College Students must meet all the admissions requirements of Queens University of Charlotte including completion of the application, submission of official transcripts from all institutions attended, a written personal statement, and payment of the application fee. Students must meet the residency and graduation requirements of Queens University of Charlotte according to their catalog of entry. Students must complete the AAS Human Services Technology at Richmond Community College. Students may transfer a maximum of 64 semester credit hours from Richmond Community College. The remaining credit hours for the degree must be completed at Queens University of Charlotte. At least 36 hours must be at the 300 level or above; no credits from Richmond may be used towards this requirement. Students will receive transfer credit for courses taken at Richmond Community College according to the equivalency list. Other courses taken at Richmond Community College will be evaluated for transfer on a course by course basis by the Queen's Registrar's Office. To receive credit for a course, a student must have earned a or better. A status of incomplete ("l") or Pass ("P") will not be considered for transfer.
</t>
  </si>
  <si>
    <t>https://www.queens.edu/admissions/transfer-admission-process/</t>
  </si>
  <si>
    <t>UNC Asheville</t>
  </si>
  <si>
    <t>UNC Asheville is a signatory school on articulation agreements with the North Carolina Community College System. These agreements makes it easier for students to complete four-year degrees at UNC Asheville. Programs that UNC Asheville accepts are:  Associate in Arts, Associate in Science, and Associate in Fine Arts.</t>
  </si>
  <si>
    <t>UNC is a signatory school on articulation agreements with the North Carolina Community College System. These agreements makes it easier for students to complete four-year degrees at UNC . Programs that UNC accepts are:  Associate in Arts, Associate in Science, and Associate in Fine Arts.</t>
  </si>
  <si>
    <t>UNCC is a signatory school on articulation agreements with the North Carolina Community College System. These agreements makes it easier for students to complete four-year degrees at UNCC. Programs that UNCC accepts are:  Associate in Arts, Associate in Science, and Associate in Fine Arts.</t>
  </si>
  <si>
    <t>UNCG is a signatory school on articulation agreements with the North Carolina Community College System. These agreements makes it easier for students to complete four-year degrees at UNCG. Programs that UNCG accepts are:  Associate in Arts, Associate in Science, and Associate in Fine Arts.</t>
  </si>
  <si>
    <t>UNC Pembroke is a signatory school on articulation agreements with the North Carolina Community College System. These agreements makes it easier for students to complete four-year degrees at UNCP . Programs that UNCP accepts are:  Associate in Arts and Associate in Science. Additional agreements include seamless transfer for students in AAS Human Services, AAS Business Administration, AAS Accounting and Finances, AAS Criminal Justice, and RN-BSN.</t>
  </si>
  <si>
    <t>UNC Wilmington is a signatory school on articulation agreements with the North Carolina Community College System. These agreements makes it easier for students to complete four-year degrees at UNCW . Programs that UNCW accepts are:  Associate in Arts, Associate in Science, AAS Early Childhood Education and AAS in Human Services.</t>
  </si>
  <si>
    <t>University of Mount Olive</t>
  </si>
  <si>
    <t>Transfer to the University of Mount Olive from Richmond Community College in the following programs: Criminal Justice, Early Childhood Education, and Human Services.</t>
  </si>
  <si>
    <t>https://my.umo.edu/external/pages/transfer-agreements</t>
  </si>
  <si>
    <t>Western Carolina University is a signatory school on articulation agreements with the North Carolina Community College System. These agreements makes it easier for students to complete four-year degrees at Western. Programs that Western accepts are:  Associate in Arts, Associate in Science, and Associate in Fine Arts.</t>
  </si>
  <si>
    <t>This agreement establishes principles that all articulated associate degrees at RichmondCC to transfer to WGU. Transfer students will be offered a 5% tuition discount for up to four academic terms and be eligible to apply for scholarships offered through the WGU Community College Partnership Scholarship.</t>
  </si>
  <si>
    <t>https://partners.wgu.edu/transferring-page?stateId=62&amp;instId=571</t>
  </si>
  <si>
    <t>Gateway to Wingate University</t>
  </si>
  <si>
    <t>Wingate University is working with local community colleges to break down educational barriers by increasing access to baccalaureate-degree programs and providing students with a seamless transfer pathway. Wingate University participates in the comprehensive articulation agreement - student's completing an AA or AS will meet this agreement as long as they earn a "C" or higher in all of their courses - this means all of their credits will transfer to Wingate University and the majority of their general education core curriculum will be met. The idea of a scholarship that would reward associate's-degree graduates for their hard work and encourage them to pursue a bachelor's degree emerged from a growing partnership between Richmond Community College and Wingate University and the state's growing need for a better prepared workforce.
That's where the Gateway to Wingate program comes in. It guarantees that annual out-of-pocket tuition costs at Wingate will be no more than $2,500 for qualifying applicants.</t>
  </si>
  <si>
    <t>https://www.wingate.edu/admissions/gateway</t>
  </si>
  <si>
    <t>Winston-Salem State University</t>
  </si>
  <si>
    <t xml:space="preserve">Winston-Salem State University is a signatory school on articulation agreements with the North Carolina Community College System. These agreements makes it easier for students to complete four-year degrees at WSSU. </t>
  </si>
  <si>
    <t>Richmond Community College has partnered with Fayetteville Tech Community College for students to start at Richmond Community College then transfer after one year in four programs of study: Funeral Services, Respiratory Therapy Assistant, Speech-Language Pathology Assistant, and Paralegal Assistant.</t>
  </si>
  <si>
    <t>https://www.faytechcc.edu/blog/ftcc-partners-with-richmond-cc-for-specialized-training-programs/</t>
  </si>
  <si>
    <t>The Citadel currently offers 12 College Transfer Programs to students who wish to pursue a bachelor's degree. There are two different paths within the Program structure: 2+2 transfer programs and degree completion programs.
These Programs are available to non-Cadet Students and Veteran Students who meet the requirements and can be taken online or in the evening on-campus.</t>
  </si>
  <si>
    <t>https://www.citadel.edu/college-transfer-program/</t>
  </si>
  <si>
    <t>East Carolina University Department of Technology Systems</t>
  </si>
  <si>
    <t>The Bachelor of Science in Industrial Technology (BSIT) Transfer Program is a degree completion curriculum designed for students who have been awarded a qualified Associate in Applied Science (AAS) degree in an industrial or technical related field.
The courses completed in the qualified technical AAS degree provide the foundation and half of the courses required in the major for the Industrial Technology degree. This BS degree program has the flexibility to allow students to tailor a curriculum to their specific career goals.</t>
  </si>
  <si>
    <t>https://cet.ecu.edu/techsystems/undergraduate-programs/industrial-technology-transfer/</t>
  </si>
  <si>
    <t>Aspire Appalachian</t>
  </si>
  <si>
    <t>Eligibility
Community college students* who meet the following criteria are eligible to participate:
are continuously enrolled (fall and spring semesters) at their community college
are on track toward completion of an eligible two-year associate degree transfer program
Early college and other innovative high school students are eligible to participate (Early College students should apply as a First-Year student through our Common App application).
*Students in the Career &amp; College Promise transfer pathway are not eligible to apply while still enrolled in high school. Students who graduate from high school and then continue at the community college are eligible.</t>
  </si>
  <si>
    <t>https://transfer.appstate.edu/aspire</t>
  </si>
  <si>
    <t>BraveNation Advantage</t>
  </si>
  <si>
    <t>Get the advantage of jumpstarting your degree pathway with UNCP. This transfer program ensures guaranteed admission to UNCP for students who attend any college in the North Carolina Community College System and complete an associate degree. Admission into a handful of specific majors, such as Nursing, Music, Musical Theater, and Art, is dependent upon meeting additional admission criteria.  Eligibility: High school juniors in a Career and College Promise or Early College program 
OR
Be in good standing at a partner community college in a degree-seeking capacity that leads to transfer to a four-year institution
AND
Enrolled in 12 hours of credit
2.0 GPA or higher
Fulfill all commitment action steps</t>
  </si>
  <si>
    <t>https://www.uncp.edu/academics/transfer-pathways/brave-nation-advantage.html</t>
  </si>
  <si>
    <t>Gardner-Webb Nursing Bridge Agreement</t>
  </si>
  <si>
    <t>Students who are accepted into the North Carolina Community College’s ADN program are dually accepted into the Davis RN-to-BSN program in the Hunt School of Nursing at Gardner-Webb with a seamless pathway to the Master of Science in Nursing
(Education/Administration/Dual – MSN/MBA) or Doctor of Nursing Practice (Family Nurse Practitioner/Psychiatric Mental Health Nurse Practitioner).
By collaborative agreement between the North Carolina Community College and Gardner-Webb University, community college students in the ADN program are automatically accepted into the Hunt School of Nursing’s Davis RN-BSN program, conditional upon meeting admission criteria.</t>
  </si>
  <si>
    <t>https://gardner-webb.edu/admissions-aid/transfer-students/equivalencies/articulation-agreements/nursing-bridge-agreement/</t>
  </si>
  <si>
    <t>Western Carolina Connect - Guaranteed Admissions Program</t>
  </si>
  <si>
    <t>To receive guaranteed admission through WCU Connect, transfer students must:
Be currently enrolled at a participating institution in a degree-seeking capacity.
Submit a complete WCU application for admission and records by published deadlines.
Pay the application fee or request a waiver.
Be in good academic standing and demonstrate good conduct.
Maintain a minimum cumulative GPA of 2.5, and at least a 2.2 GPA in their most recent term.
Earn an associate degree from a participating college.
Enroll at WCU within one academic year of degree completion.
Complete the WCU Connect Form.</t>
  </si>
  <si>
    <t>https://www.wcu.edu/apply/undergraduate-admissions/transfer-students/agreements-with-other-schools/admissions-partnerships/wcuconnect.aspx</t>
  </si>
  <si>
    <t>Destination</t>
  </si>
  <si>
    <t>Pathway to Excellence Program</t>
  </si>
  <si>
    <t>Gateway to Wingate</t>
  </si>
  <si>
    <t>A25120</t>
  </si>
  <si>
    <t>A55220</t>
  </si>
  <si>
    <t>A4538E</t>
  </si>
  <si>
    <t>A4538D</t>
  </si>
  <si>
    <t>A25590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</si>
</sst>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quot;$&quot;#,##0.00"/>
    <numFmt numFmtId="165" formatCode="0.0000"/>
  </numFmts>
  <fonts count="32">
    <font>
      <sz val="11"/>
      <color theme="1"/>
      <name val="Calibri"/>
      <family val="2"/>
      <scheme val="minor"/>
    </font>
    <font>
      <sz val="11"/>
      <color theme="1"/>
      <name val="Calibri"/>
      <scheme val="minor"/>
    </font>
    <font>
      <sz val="11"/>
      <color theme="1"/>
      <name val="Calibri"/>
      <scheme val="minor"/>
    </font>
    <font>
      <sz val="11"/>
      <color theme="1"/>
      <name val="Calibri"/>
      <scheme val="minor"/>
    </font>
    <font>
      <sz val="11"/>
      <color rgb="FF000000"/>
      <name val="Calibri"/>
      <family val="2"/>
    </font>
    <font>
      <sz val="11"/>
      <color rgb="FF000000"/>
      <name val="Calibri"/>
      <family val="2"/>
      <scheme val="minor"/>
    </font>
    <font>
      <sz val="12"/>
      <color theme="1"/>
      <name val="Calibri"/>
      <family val="2"/>
      <scheme val="minor"/>
    </font>
    <font>
      <sz val="11"/>
      <color rgb="FF7030A0"/>
      <name val="Calibri"/>
      <family val="2"/>
      <scheme val="minor"/>
    </font>
    <font>
      <u/>
      <sz val="11"/>
      <color theme="10"/>
      <name val="Calibri"/>
      <family val="2"/>
      <scheme val="minor"/>
    </font>
    <font>
      <sz val="11"/>
      <color theme="1"/>
      <name val="Calibri"/>
      <family val="2"/>
      <charset val="1"/>
    </font>
    <font>
      <sz val="12"/>
      <color rgb="FF000000"/>
      <name val="Calibri"/>
      <family val="2"/>
      <charset val="1"/>
    </font>
    <font>
      <sz val="11"/>
      <color rgb="FF000000"/>
      <name val="Calibri"/>
    </font>
    <font>
      <i/>
      <sz val="11"/>
      <color rgb="FF000000"/>
      <name val="Calibri"/>
    </font>
    <font>
      <sz val="11"/>
      <color rgb="FF333333"/>
      <name val="Calibri"/>
    </font>
    <font>
      <sz val="11"/>
      <color rgb="FF000000"/>
      <name val="Calibri"/>
      <charset val="1"/>
    </font>
    <font>
      <sz val="11"/>
      <color rgb="FFFF0000"/>
      <name val="Calibri"/>
      <family val="2"/>
    </font>
    <font>
      <sz val="12"/>
      <color rgb="FF000000"/>
      <name val="Calibri"/>
      <family val="2"/>
    </font>
    <font>
      <sz val="11"/>
      <color rgb="FF000000"/>
      <name val="Calibri"/>
      <scheme val="minor"/>
    </font>
    <font>
      <b/>
      <sz val="11"/>
      <color theme="1"/>
      <name val="Calibri"/>
      <family val="2"/>
      <scheme val="minor"/>
    </font>
    <font>
      <sz val="11"/>
      <name val="Calibri"/>
      <family val="2"/>
    </font>
    <font>
      <sz val="11"/>
      <color rgb="FFFF0000"/>
      <name val="Calibri"/>
    </font>
    <font>
      <sz val="11"/>
      <color rgb="FF242424"/>
      <name val="Aptos Narrow"/>
      <charset val="1"/>
    </font>
    <font>
      <b/>
      <sz val="11"/>
      <color rgb="FF000000"/>
      <name val="Calibri"/>
    </font>
    <font>
      <sz val="10"/>
      <color rgb="FF000000"/>
      <name val="Verdana"/>
    </font>
    <font>
      <b/>
      <sz val="10"/>
      <color rgb="FF000000"/>
      <name val="Verdana"/>
    </font>
    <font>
      <u/>
      <sz val="11"/>
      <color rgb="FF0563C1"/>
      <name val="Calibri"/>
      <charset val="1"/>
    </font>
    <font>
      <u/>
      <sz val="11"/>
      <color rgb="FF000000"/>
      <name val="Calibri"/>
      <family val="2"/>
      <scheme val="minor"/>
    </font>
    <font>
      <u/>
      <sz val="11"/>
      <color rgb="FF000000"/>
      <name val="Calibri"/>
      <charset val="1"/>
    </font>
    <font>
      <sz val="11"/>
      <color rgb="FF000000"/>
      <name val="Segoe UI"/>
      <charset val="1"/>
    </font>
    <font>
      <sz val="11"/>
      <color rgb="FF0563C1"/>
      <name val="Calibri"/>
      <scheme val="minor"/>
    </font>
    <font>
      <u/>
      <sz val="11"/>
      <color rgb="FF0563C1"/>
      <name val="Calibri"/>
      <family val="2"/>
    </font>
    <font>
      <sz val="11"/>
      <color rgb="FF666666"/>
      <name val="Open Sans"/>
      <family val="2"/>
      <charset val="1"/>
    </font>
  </fonts>
  <fills count="16">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E2EFDA"/>
        <bgColor indexed="64"/>
      </patternFill>
    </fill>
    <fill>
      <patternFill patternType="solid">
        <fgColor rgb="FFFFF2CC"/>
        <bgColor rgb="FF000000"/>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D9FF"/>
        <bgColor indexed="64"/>
      </patternFill>
    </fill>
    <fill>
      <patternFill patternType="solid">
        <fgColor theme="2" tint="-9.9978637043366805E-2"/>
        <bgColor indexed="64"/>
      </patternFill>
    </fill>
    <fill>
      <patternFill patternType="solid">
        <fgColor rgb="FFFFFFFF"/>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right style="medium">
        <color auto="1"/>
      </right>
      <top/>
      <bottom style="medium">
        <color auto="1"/>
      </bottom>
      <diagonal/>
    </border>
  </borders>
  <cellStyleXfs count="2">
    <xf numFmtId="0" fontId="0" fillId="0" borderId="0"/>
    <xf numFmtId="0" fontId="8" fillId="0" borderId="0" applyNumberFormat="0" applyFill="0" applyBorder="0" applyAlignment="0" applyProtection="0"/>
  </cellStyleXfs>
  <cellXfs count="261">
    <xf numFmtId="0" fontId="0" fillId="0" borderId="0" xfId="0"/>
    <xf numFmtId="0" fontId="0" fillId="0" borderId="1" xfId="0" applyBorder="1"/>
    <xf numFmtId="0" fontId="0" fillId="2" borderId="1" xfId="0" applyFill="1" applyBorder="1"/>
    <xf numFmtId="0" fontId="5" fillId="2" borderId="1" xfId="0" applyFont="1" applyFill="1" applyBorder="1"/>
    <xf numFmtId="0" fontId="0" fillId="3" borderId="0" xfId="0" applyFill="1"/>
    <xf numFmtId="0" fontId="0" fillId="4" borderId="1" xfId="0" applyFill="1" applyBorder="1"/>
    <xf numFmtId="6" fontId="0" fillId="4" borderId="1" xfId="0" applyNumberFormat="1" applyFill="1" applyBorder="1"/>
    <xf numFmtId="0" fontId="0" fillId="5" borderId="0" xfId="0" applyFill="1"/>
    <xf numFmtId="0" fontId="0" fillId="5" borderId="1" xfId="0" applyFill="1" applyBorder="1"/>
    <xf numFmtId="0" fontId="0" fillId="4" borderId="2" xfId="0" applyFill="1" applyBorder="1"/>
    <xf numFmtId="0" fontId="0" fillId="5" borderId="2" xfId="0" applyFill="1" applyBorder="1"/>
    <xf numFmtId="0" fontId="0" fillId="3" borderId="1" xfId="0" applyFill="1" applyBorder="1"/>
    <xf numFmtId="0" fontId="0" fillId="0" borderId="0" xfId="0" applyAlignment="1">
      <alignment vertical="top"/>
    </xf>
    <xf numFmtId="49" fontId="0" fillId="0" borderId="0" xfId="0" applyNumberFormat="1" applyAlignment="1">
      <alignment vertical="top"/>
    </xf>
    <xf numFmtId="0" fontId="0" fillId="0" borderId="0" xfId="0" applyAlignment="1">
      <alignment vertical="top" wrapText="1"/>
    </xf>
    <xf numFmtId="49" fontId="0" fillId="0" borderId="0" xfId="0" applyNumberFormat="1" applyAlignment="1">
      <alignment vertical="top" wrapText="1"/>
    </xf>
    <xf numFmtId="0" fontId="0" fillId="7" borderId="1" xfId="0" applyFill="1" applyBorder="1"/>
    <xf numFmtId="0" fontId="0" fillId="5" borderId="1" xfId="0" applyFill="1" applyBorder="1" applyAlignment="1">
      <alignment wrapText="1"/>
    </xf>
    <xf numFmtId="0" fontId="4" fillId="0" borderId="0" xfId="0" applyFont="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0" xfId="0" applyFill="1" applyAlignment="1">
      <alignment horizontal="left" vertical="top"/>
    </xf>
    <xf numFmtId="0" fontId="4" fillId="8" borderId="3" xfId="0" applyFont="1" applyFill="1" applyBorder="1"/>
    <xf numFmtId="0" fontId="0" fillId="8" borderId="1" xfId="0" applyFill="1" applyBorder="1"/>
    <xf numFmtId="0" fontId="0" fillId="8" borderId="2" xfId="0" applyFill="1" applyBorder="1"/>
    <xf numFmtId="49" fontId="4" fillId="0" borderId="0" xfId="0" applyNumberFormat="1" applyFont="1" applyAlignment="1">
      <alignment vertical="top" wrapText="1"/>
    </xf>
    <xf numFmtId="0" fontId="4" fillId="0" borderId="0" xfId="0" applyFont="1" applyAlignment="1">
      <alignment vertical="top" wrapText="1"/>
    </xf>
    <xf numFmtId="49" fontId="0" fillId="0" borderId="4" xfId="0" applyNumberFormat="1" applyBorder="1" applyAlignment="1">
      <alignment vertical="top"/>
    </xf>
    <xf numFmtId="0" fontId="0" fillId="0" borderId="4" xfId="0" applyBorder="1"/>
    <xf numFmtId="0" fontId="0" fillId="3" borderId="4" xfId="0" applyFill="1" applyBorder="1"/>
    <xf numFmtId="0" fontId="0" fillId="8" borderId="4" xfId="0" applyFill="1" applyBorder="1"/>
    <xf numFmtId="0" fontId="0" fillId="3" borderId="5" xfId="0" applyFill="1" applyBorder="1"/>
    <xf numFmtId="0" fontId="0" fillId="4" borderId="5" xfId="0" applyFill="1" applyBorder="1"/>
    <xf numFmtId="0" fontId="0" fillId="5" borderId="5" xfId="0" applyFill="1" applyBorder="1"/>
    <xf numFmtId="0" fontId="0" fillId="8" borderId="5" xfId="0" applyFill="1" applyBorder="1"/>
    <xf numFmtId="0" fontId="0" fillId="2" borderId="5" xfId="0" applyFill="1" applyBorder="1"/>
    <xf numFmtId="0" fontId="0" fillId="6" borderId="5" xfId="0" applyFill="1" applyBorder="1" applyAlignment="1">
      <alignment horizontal="left" vertical="top" wrapText="1"/>
    </xf>
    <xf numFmtId="0" fontId="8" fillId="0" borderId="0" xfId="1"/>
    <xf numFmtId="164" fontId="0" fillId="4" borderId="1" xfId="0" applyNumberFormat="1" applyFill="1" applyBorder="1"/>
    <xf numFmtId="164" fontId="0" fillId="7" borderId="1" xfId="0" applyNumberFormat="1" applyFill="1" applyBorder="1"/>
    <xf numFmtId="164" fontId="0" fillId="4" borderId="5" xfId="0" applyNumberFormat="1" applyFill="1" applyBorder="1"/>
    <xf numFmtId="164" fontId="0" fillId="4" borderId="2" xfId="0" applyNumberFormat="1" applyFill="1" applyBorder="1"/>
    <xf numFmtId="49" fontId="11" fillId="0" borderId="0" xfId="0" applyNumberFormat="1" applyFont="1" applyAlignment="1">
      <alignment vertical="top" wrapText="1"/>
    </xf>
    <xf numFmtId="0" fontId="4" fillId="0" borderId="0" xfId="0" applyFont="1" applyAlignment="1">
      <alignment vertical="top"/>
    </xf>
    <xf numFmtId="0" fontId="0" fillId="5" borderId="1" xfId="0" applyFill="1" applyBorder="1" applyAlignment="1">
      <alignment horizontal="left" vertical="top" wrapText="1"/>
    </xf>
    <xf numFmtId="0" fontId="5" fillId="5" borderId="1" xfId="0" applyFont="1" applyFill="1" applyBorder="1" applyAlignment="1">
      <alignment horizontal="left" vertical="top" wrapText="1"/>
    </xf>
    <xf numFmtId="164" fontId="0" fillId="0" borderId="0" xfId="0" applyNumberFormat="1"/>
    <xf numFmtId="0" fontId="0" fillId="0" borderId="0" xfId="0" applyAlignment="1">
      <alignment horizontal="left" vertical="top"/>
    </xf>
    <xf numFmtId="0" fontId="4" fillId="5" borderId="3" xfId="0" applyFont="1" applyFill="1" applyBorder="1"/>
    <xf numFmtId="0" fontId="4" fillId="5" borderId="3" xfId="0" applyFont="1" applyFill="1" applyBorder="1" applyAlignment="1">
      <alignment wrapText="1"/>
    </xf>
    <xf numFmtId="0" fontId="4" fillId="9" borderId="0" xfId="0" applyFont="1" applyFill="1"/>
    <xf numFmtId="0" fontId="4" fillId="9" borderId="0" xfId="0" applyFont="1" applyFill="1" applyAlignment="1">
      <alignment wrapText="1"/>
    </xf>
    <xf numFmtId="0" fontId="4" fillId="9" borderId="0" xfId="0" applyFont="1" applyFill="1" applyAlignment="1">
      <alignment horizontal="left"/>
    </xf>
    <xf numFmtId="0" fontId="0" fillId="0" borderId="0" xfId="0" applyAlignment="1">
      <alignment horizontal="left"/>
    </xf>
    <xf numFmtId="0" fontId="4" fillId="5" borderId="0" xfId="0" applyFont="1" applyFill="1"/>
    <xf numFmtId="0" fontId="8" fillId="0" borderId="0" xfId="1" applyAlignment="1">
      <alignment wrapText="1"/>
    </xf>
    <xf numFmtId="0" fontId="18" fillId="2" borderId="1" xfId="0" applyFont="1" applyFill="1" applyBorder="1"/>
    <xf numFmtId="0" fontId="4" fillId="10" borderId="1" xfId="0" applyFont="1" applyFill="1" applyBorder="1"/>
    <xf numFmtId="0" fontId="0" fillId="10" borderId="1" xfId="0" applyFill="1" applyBorder="1"/>
    <xf numFmtId="0" fontId="11" fillId="10" borderId="1" xfId="0" applyFont="1" applyFill="1" applyBorder="1"/>
    <xf numFmtId="0" fontId="4" fillId="0" borderId="1" xfId="0" applyFont="1" applyBorder="1"/>
    <xf numFmtId="0" fontId="8" fillId="10" borderId="1" xfId="1" applyFill="1" applyBorder="1"/>
    <xf numFmtId="49" fontId="17" fillId="0" borderId="0" xfId="0" applyNumberFormat="1" applyFont="1" applyAlignment="1">
      <alignment vertical="top" wrapText="1"/>
    </xf>
    <xf numFmtId="0" fontId="8" fillId="0" borderId="0" xfId="1" applyFill="1"/>
    <xf numFmtId="0" fontId="0" fillId="7" borderId="0" xfId="0" applyFill="1"/>
    <xf numFmtId="0" fontId="6" fillId="7" borderId="1" xfId="0" applyFont="1" applyFill="1" applyBorder="1" applyAlignment="1">
      <alignment horizontal="left"/>
    </xf>
    <xf numFmtId="0" fontId="6" fillId="7" borderId="1" xfId="0" applyFont="1" applyFill="1" applyBorder="1" applyAlignment="1">
      <alignment horizontal="left" wrapText="1"/>
    </xf>
    <xf numFmtId="0" fontId="16" fillId="7" borderId="3" xfId="0" applyFont="1" applyFill="1" applyBorder="1" applyAlignment="1">
      <alignment wrapText="1"/>
    </xf>
    <xf numFmtId="0" fontId="6" fillId="7" borderId="5" xfId="0" applyFont="1" applyFill="1" applyBorder="1" applyAlignment="1">
      <alignment horizontal="left" wrapText="1"/>
    </xf>
    <xf numFmtId="0" fontId="0" fillId="7" borderId="2" xfId="0" applyFill="1" applyBorder="1"/>
    <xf numFmtId="0" fontId="0" fillId="5" borderId="3" xfId="0" applyFill="1" applyBorder="1"/>
    <xf numFmtId="0" fontId="0" fillId="7" borderId="4" xfId="0" applyFill="1" applyBorder="1" applyAlignment="1">
      <alignment wrapText="1"/>
    </xf>
    <xf numFmtId="0" fontId="0" fillId="10" borderId="0" xfId="0" applyFill="1"/>
    <xf numFmtId="0" fontId="0" fillId="0" borderId="0" xfId="0" applyAlignment="1">
      <alignment horizontal="center" vertical="center"/>
    </xf>
    <xf numFmtId="0" fontId="0" fillId="5" borderId="0" xfId="0" applyFill="1" applyAlignment="1">
      <alignment horizontal="center" vertical="center"/>
    </xf>
    <xf numFmtId="0" fontId="4" fillId="9" borderId="0" xfId="0" applyFont="1" applyFill="1" applyAlignment="1">
      <alignment horizontal="center" vertical="center" wrapText="1"/>
    </xf>
    <xf numFmtId="0" fontId="0" fillId="11" borderId="1" xfId="0" applyFill="1" applyBorder="1" applyAlignment="1">
      <alignment horizontal="left" vertical="top" wrapText="1"/>
    </xf>
    <xf numFmtId="0" fontId="5" fillId="11" borderId="1" xfId="0" applyFont="1" applyFill="1" applyBorder="1" applyAlignment="1">
      <alignment horizontal="left" vertical="top" wrapText="1"/>
    </xf>
    <xf numFmtId="0" fontId="14" fillId="0" borderId="0" xfId="0" applyFont="1"/>
    <xf numFmtId="0" fontId="4" fillId="10" borderId="0" xfId="0" applyFont="1" applyFill="1"/>
    <xf numFmtId="0" fontId="8" fillId="10" borderId="0" xfId="1" applyFill="1" applyBorder="1"/>
    <xf numFmtId="0" fontId="4" fillId="7" borderId="0" xfId="0" applyFont="1" applyFill="1"/>
    <xf numFmtId="0" fontId="18" fillId="7" borderId="0" xfId="0" applyFont="1" applyFill="1"/>
    <xf numFmtId="6" fontId="0" fillId="7" borderId="1" xfId="0" applyNumberFormat="1" applyFill="1" applyBorder="1"/>
    <xf numFmtId="0" fontId="4" fillId="7" borderId="3" xfId="0" applyFont="1" applyFill="1" applyBorder="1"/>
    <xf numFmtId="0" fontId="0" fillId="7" borderId="5" xfId="0" applyFill="1" applyBorder="1"/>
    <xf numFmtId="0" fontId="0" fillId="7" borderId="4" xfId="0" applyFill="1" applyBorder="1"/>
    <xf numFmtId="49" fontId="0" fillId="0" borderId="4" xfId="0" applyNumberFormat="1" applyBorder="1"/>
    <xf numFmtId="49" fontId="0" fillId="10" borderId="4" xfId="0" applyNumberFormat="1" applyFill="1" applyBorder="1"/>
    <xf numFmtId="49" fontId="0" fillId="11" borderId="4" xfId="0" applyNumberFormat="1" applyFill="1" applyBorder="1"/>
    <xf numFmtId="49" fontId="0" fillId="7" borderId="4" xfId="0" applyNumberFormat="1" applyFill="1" applyBorder="1" applyAlignment="1">
      <alignment vertical="top"/>
    </xf>
    <xf numFmtId="49" fontId="0" fillId="7" borderId="4" xfId="0" applyNumberFormat="1" applyFill="1" applyBorder="1"/>
    <xf numFmtId="49" fontId="0" fillId="12" borderId="4" xfId="0" applyNumberFormat="1" applyFill="1" applyBorder="1"/>
    <xf numFmtId="0" fontId="4" fillId="5" borderId="4" xfId="0" applyFont="1" applyFill="1" applyBorder="1" applyAlignment="1">
      <alignment horizontal="left"/>
    </xf>
    <xf numFmtId="0" fontId="4" fillId="5" borderId="4" xfId="0" applyFont="1" applyFill="1" applyBorder="1"/>
    <xf numFmtId="49" fontId="4" fillId="0" borderId="4" xfId="0" applyNumberFormat="1" applyFont="1" applyBorder="1"/>
    <xf numFmtId="0" fontId="0" fillId="10" borderId="4" xfId="0" applyFill="1" applyBorder="1"/>
    <xf numFmtId="49" fontId="0" fillId="0" borderId="3" xfId="0" applyNumberFormat="1" applyBorder="1"/>
    <xf numFmtId="0" fontId="0" fillId="0" borderId="5" xfId="0" applyBorder="1"/>
    <xf numFmtId="49" fontId="0" fillId="10" borderId="1" xfId="0" applyNumberFormat="1" applyFill="1" applyBorder="1"/>
    <xf numFmtId="0" fontId="17" fillId="0" borderId="0" xfId="0" applyFont="1" applyAlignment="1">
      <alignment vertical="top" wrapText="1"/>
    </xf>
    <xf numFmtId="0" fontId="17" fillId="0" borderId="0" xfId="0" applyFont="1" applyAlignment="1">
      <alignment horizontal="left" vertical="top" wrapText="1"/>
    </xf>
    <xf numFmtId="0" fontId="3" fillId="0" borderId="0" xfId="0" applyFont="1" applyAlignment="1">
      <alignment vertical="top" wrapText="1"/>
    </xf>
    <xf numFmtId="0" fontId="0" fillId="0" borderId="0" xfId="0" applyAlignment="1">
      <alignment horizontal="center"/>
    </xf>
    <xf numFmtId="0" fontId="0" fillId="0" borderId="0" xfId="0" applyAlignment="1">
      <alignment horizontal="center" wrapText="1"/>
    </xf>
    <xf numFmtId="49" fontId="0" fillId="13" borderId="4" xfId="0" applyNumberFormat="1" applyFill="1" applyBorder="1" applyAlignment="1">
      <alignment vertical="top"/>
    </xf>
    <xf numFmtId="49" fontId="0" fillId="13" borderId="4" xfId="0" applyNumberFormat="1" applyFill="1" applyBorder="1"/>
    <xf numFmtId="49" fontId="0" fillId="13" borderId="3" xfId="0" applyNumberFormat="1" applyFill="1" applyBorder="1"/>
    <xf numFmtId="0" fontId="4" fillId="13" borderId="0" xfId="0" applyFont="1" applyFill="1"/>
    <xf numFmtId="0" fontId="0" fillId="13" borderId="0" xfId="0" applyFill="1"/>
    <xf numFmtId="0" fontId="4" fillId="0" borderId="6" xfId="0" applyFont="1" applyBorder="1" applyAlignment="1">
      <alignment horizontal="center" vertical="top"/>
    </xf>
    <xf numFmtId="49" fontId="4" fillId="0" borderId="6" xfId="0" applyNumberFormat="1" applyFont="1" applyBorder="1" applyAlignment="1">
      <alignment horizontal="center" vertical="top"/>
    </xf>
    <xf numFmtId="0" fontId="4" fillId="0" borderId="3" xfId="0" applyFont="1" applyBorder="1" applyAlignment="1">
      <alignment horizontal="center" vertical="top"/>
    </xf>
    <xf numFmtId="49" fontId="4" fillId="0" borderId="3" xfId="0" applyNumberFormat="1" applyFont="1" applyBorder="1" applyAlignment="1">
      <alignment horizontal="center" vertical="top"/>
    </xf>
    <xf numFmtId="0" fontId="14" fillId="0" borderId="0" xfId="0" applyFont="1" applyAlignment="1">
      <alignment vertical="top"/>
    </xf>
    <xf numFmtId="0" fontId="15" fillId="0" borderId="0" xfId="0" applyFont="1" applyAlignment="1">
      <alignment vertical="top"/>
    </xf>
    <xf numFmtId="0" fontId="4" fillId="0" borderId="1" xfId="0" applyFont="1" applyBorder="1" applyAlignment="1">
      <alignment horizontal="center" vertical="top"/>
    </xf>
    <xf numFmtId="0" fontId="4" fillId="0" borderId="3" xfId="0" applyFont="1" applyBorder="1" applyAlignment="1">
      <alignment horizontal="left" vertical="top"/>
    </xf>
    <xf numFmtId="0" fontId="4" fillId="0" borderId="3" xfId="0" applyFont="1" applyBorder="1" applyAlignment="1">
      <alignment horizontal="left" vertical="top" wrapText="1"/>
    </xf>
    <xf numFmtId="0" fontId="4" fillId="0" borderId="7" xfId="0" applyFont="1" applyBorder="1" applyAlignment="1">
      <alignment horizontal="center" vertical="top"/>
    </xf>
    <xf numFmtId="0" fontId="4" fillId="0" borderId="4" xfId="0" applyFont="1" applyBorder="1" applyAlignment="1">
      <alignment horizontal="left" vertical="top"/>
    </xf>
    <xf numFmtId="0" fontId="4" fillId="0" borderId="0" xfId="0" applyFont="1" applyAlignment="1">
      <alignment horizontal="left" vertical="top"/>
    </xf>
    <xf numFmtId="0" fontId="4" fillId="0" borderId="3" xfId="0" applyFont="1" applyBorder="1" applyAlignment="1">
      <alignment vertical="top"/>
    </xf>
    <xf numFmtId="0" fontId="4" fillId="0" borderId="3" xfId="0" applyFont="1" applyBorder="1" applyAlignment="1">
      <alignment vertical="top" wrapText="1"/>
    </xf>
    <xf numFmtId="0" fontId="14" fillId="0" borderId="3" xfId="0" applyFont="1" applyBorder="1" applyAlignment="1">
      <alignment vertical="top" wrapText="1"/>
    </xf>
    <xf numFmtId="0" fontId="4" fillId="0" borderId="2" xfId="0" applyFont="1" applyBorder="1" applyAlignment="1">
      <alignment horizontal="center" vertical="top"/>
    </xf>
    <xf numFmtId="0" fontId="4" fillId="0" borderId="6" xfId="0" applyFont="1" applyBorder="1" applyAlignment="1">
      <alignment vertical="top"/>
    </xf>
    <xf numFmtId="0" fontId="4" fillId="0" borderId="6" xfId="0" applyFont="1" applyBorder="1" applyAlignment="1">
      <alignment vertical="top" wrapText="1"/>
    </xf>
    <xf numFmtId="0" fontId="20" fillId="0" borderId="6" xfId="0" applyFont="1" applyBorder="1" applyAlignment="1">
      <alignment vertical="top" wrapText="1"/>
    </xf>
    <xf numFmtId="49" fontId="19" fillId="0" borderId="6" xfId="0" applyNumberFormat="1" applyFont="1" applyBorder="1" applyAlignment="1">
      <alignment horizontal="center" vertical="top"/>
    </xf>
    <xf numFmtId="0" fontId="19" fillId="0" borderId="6" xfId="0" applyFont="1" applyBorder="1" applyAlignment="1">
      <alignment vertical="top" wrapText="1"/>
    </xf>
    <xf numFmtId="0" fontId="19" fillId="0" borderId="6" xfId="0" applyFont="1" applyBorder="1" applyAlignment="1">
      <alignment horizontal="center" vertical="top"/>
    </xf>
    <xf numFmtId="0" fontId="15" fillId="0" borderId="2" xfId="0" applyFont="1" applyBorder="1" applyAlignment="1">
      <alignment horizontal="center" vertical="top"/>
    </xf>
    <xf numFmtId="0" fontId="15" fillId="0" borderId="6" xfId="0" applyFont="1" applyBorder="1" applyAlignment="1">
      <alignment vertical="top"/>
    </xf>
    <xf numFmtId="0" fontId="15" fillId="0" borderId="6" xfId="0" applyFont="1" applyBorder="1" applyAlignment="1">
      <alignment horizontal="center" vertical="top"/>
    </xf>
    <xf numFmtId="0" fontId="15" fillId="0" borderId="6" xfId="0" applyFont="1" applyBorder="1" applyAlignment="1">
      <alignment vertical="top" wrapText="1"/>
    </xf>
    <xf numFmtId="49" fontId="15" fillId="0" borderId="6" xfId="0" applyNumberFormat="1" applyFont="1" applyBorder="1" applyAlignment="1">
      <alignment horizontal="center" vertical="top"/>
    </xf>
    <xf numFmtId="0" fontId="19" fillId="0" borderId="6" xfId="0" applyFont="1" applyBorder="1" applyAlignment="1">
      <alignment vertical="top"/>
    </xf>
    <xf numFmtId="0" fontId="0" fillId="0" borderId="0" xfId="0" applyAlignment="1">
      <alignment horizontal="center" vertical="top"/>
    </xf>
    <xf numFmtId="0" fontId="0" fillId="0" borderId="0" xfId="0" applyAlignment="1">
      <alignment horizontal="left" vertical="top" wrapText="1"/>
    </xf>
    <xf numFmtId="49" fontId="0" fillId="0" borderId="0" xfId="0" applyNumberFormat="1" applyAlignment="1">
      <alignment horizontal="center" vertical="top"/>
    </xf>
    <xf numFmtId="0" fontId="11" fillId="13" borderId="0" xfId="0" applyFont="1" applyFill="1"/>
    <xf numFmtId="0" fontId="0" fillId="13" borderId="0" xfId="0" applyFill="1" applyAlignment="1">
      <alignment horizontal="center" vertical="center"/>
    </xf>
    <xf numFmtId="0" fontId="11" fillId="0" borderId="0" xfId="0" applyFont="1"/>
    <xf numFmtId="49" fontId="12" fillId="0" borderId="0" xfId="0" applyNumberFormat="1" applyFont="1" applyAlignment="1">
      <alignment vertical="top" wrapText="1"/>
    </xf>
    <xf numFmtId="0" fontId="11" fillId="0" borderId="6" xfId="0" applyFont="1" applyBorder="1" applyAlignment="1">
      <alignment horizontal="center" vertical="top" wrapText="1"/>
    </xf>
    <xf numFmtId="0" fontId="4" fillId="11" borderId="0" xfId="0" applyFont="1" applyFill="1"/>
    <xf numFmtId="0" fontId="23" fillId="0" borderId="6" xfId="0" applyFont="1" applyBorder="1" applyAlignment="1">
      <alignment horizontal="center" vertical="top" wrapText="1"/>
    </xf>
    <xf numFmtId="0" fontId="0" fillId="3" borderId="4" xfId="0" applyFill="1" applyBorder="1" applyAlignment="1">
      <alignment wrapText="1"/>
    </xf>
    <xf numFmtId="0" fontId="11" fillId="3" borderId="4" xfId="0" applyFont="1" applyFill="1" applyBorder="1"/>
    <xf numFmtId="0" fontId="4" fillId="3" borderId="4" xfId="0" applyFont="1" applyFill="1" applyBorder="1"/>
    <xf numFmtId="0" fontId="4" fillId="3" borderId="4" xfId="0" applyFont="1" applyFill="1" applyBorder="1" applyAlignment="1">
      <alignment wrapText="1"/>
    </xf>
    <xf numFmtId="0" fontId="19" fillId="3" borderId="4" xfId="0" applyFont="1" applyFill="1" applyBorder="1"/>
    <xf numFmtId="0" fontId="21" fillId="3" borderId="4" xfId="0" applyFont="1" applyFill="1" applyBorder="1"/>
    <xf numFmtId="0" fontId="19" fillId="3" borderId="4" xfId="0" applyFont="1" applyFill="1" applyBorder="1" applyAlignment="1">
      <alignment wrapText="1"/>
    </xf>
    <xf numFmtId="0" fontId="8" fillId="0" borderId="0" xfId="1" applyFill="1" applyAlignment="1">
      <alignment vertical="top"/>
    </xf>
    <xf numFmtId="0" fontId="9" fillId="0" borderId="0" xfId="0" applyFont="1" applyAlignment="1">
      <alignment vertical="top" wrapText="1"/>
    </xf>
    <xf numFmtId="0" fontId="5" fillId="0" borderId="0" xfId="0" applyFont="1" applyAlignment="1">
      <alignment vertical="top" wrapText="1"/>
    </xf>
    <xf numFmtId="0" fontId="10" fillId="0" borderId="0" xfId="0" applyFont="1" applyAlignment="1">
      <alignment vertical="top" wrapText="1"/>
    </xf>
    <xf numFmtId="0" fontId="8" fillId="0" borderId="0" xfId="1" applyAlignment="1">
      <alignment vertical="top"/>
    </xf>
    <xf numFmtId="0" fontId="8" fillId="0" borderId="0" xfId="1" applyAlignment="1">
      <alignment vertical="top" wrapText="1"/>
    </xf>
    <xf numFmtId="0" fontId="0" fillId="13" borderId="0" xfId="0" applyFill="1" applyAlignment="1">
      <alignment horizontal="left"/>
    </xf>
    <xf numFmtId="0" fontId="0" fillId="13" borderId="4" xfId="0" applyFill="1" applyBorder="1"/>
    <xf numFmtId="0" fontId="9" fillId="13" borderId="4" xfId="0" applyFont="1" applyFill="1" applyBorder="1" applyAlignment="1">
      <alignment horizontal="left"/>
    </xf>
    <xf numFmtId="0" fontId="4" fillId="7" borderId="6" xfId="0" applyFont="1" applyFill="1" applyBorder="1" applyAlignment="1">
      <alignment vertical="top"/>
    </xf>
    <xf numFmtId="0" fontId="20" fillId="0" borderId="6" xfId="0" applyFont="1" applyBorder="1" applyAlignment="1">
      <alignment horizontal="center" vertical="top"/>
    </xf>
    <xf numFmtId="0" fontId="15" fillId="7" borderId="2" xfId="0" applyFont="1" applyFill="1" applyBorder="1" applyAlignment="1">
      <alignment horizontal="center" vertical="top"/>
    </xf>
    <xf numFmtId="0" fontId="15" fillId="7" borderId="6" xfId="0" applyFont="1" applyFill="1" applyBorder="1" applyAlignment="1">
      <alignment vertical="top"/>
    </xf>
    <xf numFmtId="0" fontId="15" fillId="7" borderId="6" xfId="0" applyFont="1" applyFill="1" applyBorder="1" applyAlignment="1">
      <alignment horizontal="center" vertical="top"/>
    </xf>
    <xf numFmtId="0" fontId="15" fillId="7" borderId="6" xfId="0" applyFont="1" applyFill="1" applyBorder="1" applyAlignment="1">
      <alignment vertical="top" wrapText="1"/>
    </xf>
    <xf numFmtId="0" fontId="20" fillId="7" borderId="6" xfId="0" applyFont="1" applyFill="1" applyBorder="1" applyAlignment="1">
      <alignment horizontal="center" vertical="top"/>
    </xf>
    <xf numFmtId="49" fontId="15" fillId="7" borderId="6" xfId="0" applyNumberFormat="1" applyFont="1" applyFill="1" applyBorder="1" applyAlignment="1">
      <alignment horizontal="center" vertical="top"/>
    </xf>
    <xf numFmtId="0" fontId="19" fillId="7" borderId="2" xfId="0" applyFont="1" applyFill="1" applyBorder="1" applyAlignment="1">
      <alignment horizontal="center" vertical="top"/>
    </xf>
    <xf numFmtId="0" fontId="4" fillId="7" borderId="6" xfId="0" applyFont="1" applyFill="1" applyBorder="1" applyAlignment="1">
      <alignment horizontal="center" vertical="top"/>
    </xf>
    <xf numFmtId="0" fontId="4" fillId="7" borderId="6" xfId="0" applyFont="1" applyFill="1" applyBorder="1" applyAlignment="1">
      <alignment vertical="top" wrapText="1"/>
    </xf>
    <xf numFmtId="49" fontId="4" fillId="7" borderId="6" xfId="0" applyNumberFormat="1" applyFont="1" applyFill="1" applyBorder="1" applyAlignment="1">
      <alignment horizontal="center" vertical="top"/>
    </xf>
    <xf numFmtId="0" fontId="15" fillId="13" borderId="2" xfId="0" applyFont="1" applyFill="1" applyBorder="1" applyAlignment="1">
      <alignment horizontal="center" vertical="top"/>
    </xf>
    <xf numFmtId="0" fontId="15" fillId="13" borderId="6" xfId="0" applyFont="1" applyFill="1" applyBorder="1" applyAlignment="1">
      <alignment vertical="top"/>
    </xf>
    <xf numFmtId="0" fontId="15" fillId="13" borderId="6" xfId="0" applyFont="1" applyFill="1" applyBorder="1" applyAlignment="1">
      <alignment horizontal="center" vertical="top"/>
    </xf>
    <xf numFmtId="0" fontId="15" fillId="13" borderId="6" xfId="0" applyFont="1" applyFill="1" applyBorder="1" applyAlignment="1">
      <alignment vertical="top" wrapText="1"/>
    </xf>
    <xf numFmtId="0" fontId="20" fillId="13" borderId="6" xfId="0" applyFont="1" applyFill="1" applyBorder="1" applyAlignment="1">
      <alignment horizontal="center" vertical="top"/>
    </xf>
    <xf numFmtId="0" fontId="4" fillId="13" borderId="6" xfId="0" applyFont="1" applyFill="1" applyBorder="1" applyAlignment="1">
      <alignment vertical="top"/>
    </xf>
    <xf numFmtId="49" fontId="15" fillId="13" borderId="6" xfId="0" applyNumberFormat="1" applyFont="1" applyFill="1" applyBorder="1" applyAlignment="1">
      <alignment horizontal="center" vertical="top"/>
    </xf>
    <xf numFmtId="0" fontId="19" fillId="13" borderId="2" xfId="0" applyFont="1" applyFill="1" applyBorder="1" applyAlignment="1">
      <alignment horizontal="center" vertical="top"/>
    </xf>
    <xf numFmtId="0" fontId="4" fillId="13" borderId="6" xfId="0" applyFont="1" applyFill="1" applyBorder="1" applyAlignment="1">
      <alignment horizontal="center" vertical="top"/>
    </xf>
    <xf numFmtId="0" fontId="4" fillId="13" borderId="6" xfId="0" applyFont="1" applyFill="1" applyBorder="1" applyAlignment="1">
      <alignment vertical="top" wrapText="1"/>
    </xf>
    <xf numFmtId="49" fontId="4" fillId="13" borderId="6" xfId="0" applyNumberFormat="1" applyFont="1" applyFill="1" applyBorder="1" applyAlignment="1">
      <alignment horizontal="center" vertical="top"/>
    </xf>
    <xf numFmtId="165" fontId="0" fillId="5" borderId="1" xfId="0" applyNumberFormat="1" applyFill="1" applyBorder="1"/>
    <xf numFmtId="165" fontId="4" fillId="5" borderId="3" xfId="0" applyNumberFormat="1" applyFont="1" applyFill="1" applyBorder="1"/>
    <xf numFmtId="165" fontId="0" fillId="5" borderId="5" xfId="0" applyNumberFormat="1" applyFill="1" applyBorder="1"/>
    <xf numFmtId="165" fontId="0" fillId="0" borderId="0" xfId="0" applyNumberFormat="1"/>
    <xf numFmtId="164" fontId="0" fillId="13" borderId="0" xfId="0" applyNumberFormat="1" applyFill="1"/>
    <xf numFmtId="0" fontId="25" fillId="0" borderId="0" xfId="0" applyFont="1"/>
    <xf numFmtId="0" fontId="26" fillId="0" borderId="0" xfId="1" applyFont="1"/>
    <xf numFmtId="0" fontId="27" fillId="0" borderId="0" xfId="0" applyFont="1"/>
    <xf numFmtId="0" fontId="26" fillId="13" borderId="0" xfId="1" applyFont="1" applyFill="1"/>
    <xf numFmtId="0" fontId="26" fillId="0" borderId="0" xfId="1" applyFont="1" applyFill="1"/>
    <xf numFmtId="0" fontId="26" fillId="7" borderId="0" xfId="1" applyFont="1" applyFill="1"/>
    <xf numFmtId="0" fontId="26" fillId="0" borderId="0" xfId="1" applyFont="1" applyAlignment="1">
      <alignment wrapText="1"/>
    </xf>
    <xf numFmtId="0" fontId="5" fillId="0" borderId="0" xfId="0" applyFont="1"/>
    <xf numFmtId="0" fontId="0" fillId="13" borderId="1" xfId="0" applyFill="1" applyBorder="1"/>
    <xf numFmtId="164" fontId="0" fillId="13" borderId="1" xfId="0" applyNumberFormat="1" applyFill="1" applyBorder="1"/>
    <xf numFmtId="165" fontId="0" fillId="13" borderId="1" xfId="0" applyNumberFormat="1" applyFill="1" applyBorder="1"/>
    <xf numFmtId="0" fontId="6" fillId="13" borderId="1" xfId="0" applyFont="1" applyFill="1" applyBorder="1" applyAlignment="1">
      <alignment horizontal="left" wrapText="1"/>
    </xf>
    <xf numFmtId="0" fontId="0" fillId="13" borderId="1" xfId="0" applyFill="1" applyBorder="1" applyAlignment="1">
      <alignment horizontal="left" vertical="top" wrapText="1"/>
    </xf>
    <xf numFmtId="164" fontId="0" fillId="0" borderId="4" xfId="0" applyNumberFormat="1" applyBorder="1"/>
    <xf numFmtId="165" fontId="0" fillId="0" borderId="4" xfId="0" applyNumberFormat="1" applyBorder="1"/>
    <xf numFmtId="49" fontId="0" fillId="0" borderId="8" xfId="0" applyNumberFormat="1" applyBorder="1" applyAlignment="1">
      <alignment vertical="top"/>
    </xf>
    <xf numFmtId="0" fontId="0" fillId="0" borderId="8" xfId="0" applyBorder="1"/>
    <xf numFmtId="49" fontId="0" fillId="0" borderId="9" xfId="0" applyNumberFormat="1" applyBorder="1"/>
    <xf numFmtId="0" fontId="0" fillId="3" borderId="8" xfId="0" applyFill="1" applyBorder="1"/>
    <xf numFmtId="0" fontId="0" fillId="7" borderId="8" xfId="0" applyFill="1" applyBorder="1"/>
    <xf numFmtId="164" fontId="0" fillId="4" borderId="8" xfId="0" applyNumberFormat="1" applyFill="1" applyBorder="1"/>
    <xf numFmtId="0" fontId="0" fillId="4" borderId="8" xfId="0" applyFill="1" applyBorder="1"/>
    <xf numFmtId="165" fontId="0" fillId="5" borderId="8" xfId="0" applyNumberFormat="1" applyFill="1" applyBorder="1"/>
    <xf numFmtId="0" fontId="0" fillId="5" borderId="8" xfId="0" applyFill="1" applyBorder="1"/>
    <xf numFmtId="0" fontId="0" fillId="8" borderId="8" xfId="0" applyFill="1" applyBorder="1"/>
    <xf numFmtId="0" fontId="0" fillId="7" borderId="8" xfId="0" applyFill="1" applyBorder="1" applyAlignment="1">
      <alignment wrapText="1"/>
    </xf>
    <xf numFmtId="0" fontId="0" fillId="2" borderId="8" xfId="0" applyFill="1" applyBorder="1"/>
    <xf numFmtId="0" fontId="0" fillId="5" borderId="8" xfId="0" applyFill="1" applyBorder="1" applyAlignment="1">
      <alignment horizontal="left" vertical="top" wrapText="1"/>
    </xf>
    <xf numFmtId="49" fontId="0" fillId="0" borderId="10" xfId="0" applyNumberFormat="1" applyBorder="1" applyAlignment="1">
      <alignment vertical="top"/>
    </xf>
    <xf numFmtId="0" fontId="0" fillId="0" borderId="10" xfId="0" applyBorder="1"/>
    <xf numFmtId="0" fontId="0" fillId="11" borderId="0" xfId="0" applyFill="1"/>
    <xf numFmtId="0" fontId="0" fillId="11" borderId="0" xfId="0" applyFill="1" applyAlignment="1">
      <alignment horizontal="center" vertical="center"/>
    </xf>
    <xf numFmtId="49" fontId="0" fillId="2" borderId="0" xfId="0" applyNumberFormat="1" applyFill="1" applyAlignment="1">
      <alignment vertical="top"/>
    </xf>
    <xf numFmtId="49" fontId="0" fillId="2" borderId="0" xfId="0" applyNumberFormat="1" applyFill="1" applyAlignment="1">
      <alignment vertical="top" wrapText="1"/>
    </xf>
    <xf numFmtId="0" fontId="2" fillId="0" borderId="0" xfId="0" applyFont="1" applyAlignment="1">
      <alignment horizontal="center" vertical="top"/>
    </xf>
    <xf numFmtId="0" fontId="5" fillId="0" borderId="0" xfId="0" applyFont="1" applyAlignment="1">
      <alignment horizontal="center" vertical="top"/>
    </xf>
    <xf numFmtId="0" fontId="4" fillId="12" borderId="0" xfId="0" applyFont="1" applyFill="1"/>
    <xf numFmtId="0" fontId="4" fillId="0" borderId="6" xfId="0" applyFont="1" applyBorder="1" applyAlignment="1">
      <alignment horizontal="left" vertical="top"/>
    </xf>
    <xf numFmtId="0" fontId="8" fillId="0" borderId="1" xfId="1" applyFill="1" applyBorder="1"/>
    <xf numFmtId="0" fontId="8" fillId="0" borderId="0" xfId="1" applyFill="1" applyBorder="1"/>
    <xf numFmtId="0" fontId="28" fillId="0" borderId="11" xfId="0" applyFont="1" applyBorder="1" applyAlignment="1">
      <alignment wrapText="1"/>
    </xf>
    <xf numFmtId="0" fontId="13" fillId="0" borderId="1" xfId="0" applyFont="1" applyBorder="1"/>
    <xf numFmtId="0" fontId="0" fillId="7" borderId="1" xfId="0" applyFill="1" applyBorder="1" applyAlignment="1">
      <alignment wrapText="1"/>
    </xf>
    <xf numFmtId="0" fontId="7" fillId="6" borderId="1" xfId="0" applyFont="1" applyFill="1" applyBorder="1" applyAlignment="1">
      <alignment horizontal="left" vertical="top" wrapText="1"/>
    </xf>
    <xf numFmtId="0" fontId="17" fillId="0" borderId="0" xfId="1" applyFont="1"/>
    <xf numFmtId="0" fontId="29" fillId="0" borderId="0" xfId="1" applyFont="1"/>
    <xf numFmtId="0" fontId="0" fillId="14" borderId="1" xfId="0" applyFill="1" applyBorder="1" applyAlignment="1">
      <alignment horizontal="left" vertical="top" wrapText="1"/>
    </xf>
    <xf numFmtId="6" fontId="0" fillId="13" borderId="1" xfId="0" applyNumberFormat="1" applyFill="1" applyBorder="1"/>
    <xf numFmtId="0" fontId="0" fillId="5" borderId="4" xfId="0" applyFill="1" applyBorder="1" applyAlignment="1">
      <alignment horizontal="left" vertical="top" wrapText="1"/>
    </xf>
    <xf numFmtId="0" fontId="5" fillId="14" borderId="1" xfId="0" applyFont="1" applyFill="1" applyBorder="1" applyAlignment="1">
      <alignment horizontal="left" vertical="top" wrapText="1"/>
    </xf>
    <xf numFmtId="0" fontId="4" fillId="0" borderId="4" xfId="0" applyFont="1" applyBorder="1"/>
    <xf numFmtId="0" fontId="4" fillId="15" borderId="1" xfId="0" applyFont="1" applyFill="1" applyBorder="1"/>
    <xf numFmtId="0" fontId="8" fillId="0" borderId="0" xfId="1" applyFill="1" applyBorder="1" applyAlignment="1"/>
    <xf numFmtId="0" fontId="4" fillId="0" borderId="2" xfId="0" applyFont="1" applyBorder="1"/>
    <xf numFmtId="0" fontId="8" fillId="0" borderId="2" xfId="1" applyFill="1" applyBorder="1" applyAlignment="1"/>
    <xf numFmtId="0" fontId="30" fillId="0" borderId="0" xfId="0" applyFont="1"/>
    <xf numFmtId="0" fontId="30" fillId="0" borderId="1" xfId="0" applyFont="1" applyBorder="1"/>
    <xf numFmtId="0" fontId="4" fillId="15" borderId="2" xfId="0" applyFont="1" applyFill="1" applyBorder="1"/>
    <xf numFmtId="0" fontId="4" fillId="15" borderId="0" xfId="0" applyFont="1" applyFill="1"/>
    <xf numFmtId="0" fontId="8" fillId="0" borderId="1" xfId="1" applyBorder="1"/>
    <xf numFmtId="0" fontId="31" fillId="0" borderId="0" xfId="0" applyFont="1"/>
    <xf numFmtId="0" fontId="1" fillId="0" borderId="0" xfId="0" applyFont="1" applyAlignment="1">
      <alignment horizontal="center" wrapText="1"/>
    </xf>
    <xf numFmtId="0" fontId="1" fillId="0" borderId="0" xfId="0" applyFont="1" applyAlignment="1">
      <alignment horizontal="left" vertical="top"/>
    </xf>
    <xf numFmtId="0" fontId="1" fillId="0" borderId="0" xfId="0" applyFont="1" applyAlignment="1">
      <alignment horizontal="left" vertical="top" wrapText="1"/>
    </xf>
    <xf numFmtId="49" fontId="1" fillId="0" borderId="0" xfId="0" applyNumberFormat="1" applyFont="1" applyAlignment="1">
      <alignment vertical="top"/>
    </xf>
    <xf numFmtId="0" fontId="1" fillId="0" borderId="0" xfId="0" applyFont="1" applyAlignment="1">
      <alignment horizontal="center" vertical="top"/>
    </xf>
    <xf numFmtId="0" fontId="1" fillId="0" borderId="0" xfId="0" applyFont="1" applyAlignment="1">
      <alignment horizontal="center" vertical="top" wrapText="1"/>
    </xf>
    <xf numFmtId="0" fontId="1" fillId="0" borderId="0" xfId="0" applyFont="1" applyAlignment="1">
      <alignment vertical="top" wrapText="1"/>
    </xf>
    <xf numFmtId="49" fontId="1" fillId="0" borderId="0" xfId="0" applyNumberFormat="1" applyFont="1" applyAlignment="1">
      <alignment vertical="top" wrapText="1"/>
    </xf>
  </cellXfs>
  <cellStyles count="2">
    <cellStyle name="Hyperlink" xfId="1" builtinId="8"/>
    <cellStyle name="Normal" xfId="0" builtinId="0"/>
  </cellStyles>
  <dxfs count="0"/>
  <tableStyles count="0" defaultTableStyle="TableStyleMedium2" defaultPivotStyle="PivotStyleMedium9"/>
  <colors>
    <mruColors>
      <color rgb="FF00D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f:/s/MarketingTeam/Eq4LsdqewCRJjzd9m4H1V2gBcBPKaY4uOOSj6MN_bbF_3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3" Type="http://schemas.openxmlformats.org/officeDocument/2006/relationships/hyperlink" Target="mailto:dpwoodard@richmondcc.edu" TargetMode="External"/><Relationship Id="rId18" Type="http://schemas.openxmlformats.org/officeDocument/2006/relationships/hyperlink" Target="mailto:cdleviner@richmondcc.edu" TargetMode="External"/><Relationship Id="rId26" Type="http://schemas.openxmlformats.org/officeDocument/2006/relationships/hyperlink" Target="mailto:dcoliver@richmondcc.edu" TargetMode="External"/><Relationship Id="rId39" Type="http://schemas.openxmlformats.org/officeDocument/2006/relationships/hyperlink" Target="mailto:jgoodwin@riichmondcc.edu" TargetMode="External"/><Relationship Id="rId21" Type="http://schemas.openxmlformats.org/officeDocument/2006/relationships/hyperlink" Target="mailto:evcarlyle@richmondcc.edu" TargetMode="External"/><Relationship Id="rId34" Type="http://schemas.openxmlformats.org/officeDocument/2006/relationships/hyperlink" Target="https://richmondcc.edu/sites/default/files/public/Directory_Photos/" TargetMode="External"/><Relationship Id="rId7" Type="http://schemas.openxmlformats.org/officeDocument/2006/relationships/hyperlink" Target="mailto:mdmackie@richmondcc.edu" TargetMode="External"/><Relationship Id="rId12" Type="http://schemas.openxmlformats.org/officeDocument/2006/relationships/hyperlink" Target="mailto:dsstewart9287@richmondcc.edu" TargetMode="External"/><Relationship Id="rId17" Type="http://schemas.openxmlformats.org/officeDocument/2006/relationships/hyperlink" Target="mailto:wkjordan@richmondcc.edu" TargetMode="External"/><Relationship Id="rId25" Type="http://schemas.openxmlformats.org/officeDocument/2006/relationships/hyperlink" Target="mailto:krmcdonald2507@richmondcc.edu" TargetMode="External"/><Relationship Id="rId33" Type="http://schemas.openxmlformats.org/officeDocument/2006/relationships/hyperlink" Target="https://richmondcc.edu/sites/default/files/public/Directory_Photos/" TargetMode="External"/><Relationship Id="rId38" Type="http://schemas.openxmlformats.org/officeDocument/2006/relationships/hyperlink" Target="mailto:sndeweese@richmondcc.edu" TargetMode="External"/><Relationship Id="rId2" Type="http://schemas.openxmlformats.org/officeDocument/2006/relationships/hyperlink" Target="mailto:cmbrown@richmondcc.edu" TargetMode="External"/><Relationship Id="rId16" Type="http://schemas.openxmlformats.org/officeDocument/2006/relationships/hyperlink" Target="mailto:asbutler@richmondcc.edu" TargetMode="External"/><Relationship Id="rId20" Type="http://schemas.openxmlformats.org/officeDocument/2006/relationships/hyperlink" Target="mailto:kctaylor@richmondcc.edu" TargetMode="External"/><Relationship Id="rId29" Type="http://schemas.openxmlformats.org/officeDocument/2006/relationships/hyperlink" Target="mailto:vkhanal@richmondcc.edu" TargetMode="External"/><Relationship Id="rId1" Type="http://schemas.openxmlformats.org/officeDocument/2006/relationships/hyperlink" Target="mailto:scowen@richmondcc.edu" TargetMode="External"/><Relationship Id="rId6" Type="http://schemas.openxmlformats.org/officeDocument/2006/relationships/hyperlink" Target="mailto:kemaynard@richmondcc.edu" TargetMode="External"/><Relationship Id="rId11" Type="http://schemas.openxmlformats.org/officeDocument/2006/relationships/hyperlink" Target="mailto:lasessoms@richmondcc.edu" TargetMode="External"/><Relationship Id="rId24" Type="http://schemas.openxmlformats.org/officeDocument/2006/relationships/hyperlink" Target="mailto:cjcaple@richmondcc.edu" TargetMode="External"/><Relationship Id="rId32" Type="http://schemas.openxmlformats.org/officeDocument/2006/relationships/hyperlink" Target="https://richmondcc.edu/sites/default/files/public/Directory_Photos/" TargetMode="External"/><Relationship Id="rId37" Type="http://schemas.openxmlformats.org/officeDocument/2006/relationships/hyperlink" Target="mailto:tbdawkins@richmondcc.edu" TargetMode="External"/><Relationship Id="rId40" Type="http://schemas.openxmlformats.org/officeDocument/2006/relationships/printerSettings" Target="../printerSettings/printerSettings3.bin"/><Relationship Id="rId5" Type="http://schemas.openxmlformats.org/officeDocument/2006/relationships/hyperlink" Target="mailto:dlopez@richmondcc.edu" TargetMode="External"/><Relationship Id="rId15" Type="http://schemas.openxmlformats.org/officeDocument/2006/relationships/hyperlink" Target="mailto:tcchavis@richmondcc.edu" TargetMode="External"/><Relationship Id="rId23" Type="http://schemas.openxmlformats.org/officeDocument/2006/relationships/hyperlink" Target="mailto:jdrogers@richmondcc.edu" TargetMode="External"/><Relationship Id="rId28" Type="http://schemas.openxmlformats.org/officeDocument/2006/relationships/hyperlink" Target="mailto:dvwilson@richmondcc.edu" TargetMode="External"/><Relationship Id="rId36" Type="http://schemas.openxmlformats.org/officeDocument/2006/relationships/hyperlink" Target="mailto:arbullard@richmondcc.edu" TargetMode="External"/><Relationship Id="rId10" Type="http://schemas.openxmlformats.org/officeDocument/2006/relationships/hyperlink" Target="mailto:jrruperd@richmondcc.edu" TargetMode="External"/><Relationship Id="rId19" Type="http://schemas.openxmlformats.org/officeDocument/2006/relationships/hyperlink" Target="mailto:gcbaxley@richmondcc.edu" TargetMode="External"/><Relationship Id="rId31" Type="http://schemas.openxmlformats.org/officeDocument/2006/relationships/hyperlink" Target="mailto:medellay@richmondcc.edu" TargetMode="External"/><Relationship Id="rId4" Type="http://schemas.openxmlformats.org/officeDocument/2006/relationships/hyperlink" Target="mailto:arharden@richmondcc.edu" TargetMode="External"/><Relationship Id="rId9" Type="http://schemas.openxmlformats.org/officeDocument/2006/relationships/hyperlink" Target="mailto:bjperry@richmondcc.edu" TargetMode="External"/><Relationship Id="rId14" Type="http://schemas.openxmlformats.org/officeDocument/2006/relationships/hyperlink" Target="mailto:mcchappell@richmondcc.edu" TargetMode="External"/><Relationship Id="rId22" Type="http://schemas.openxmlformats.org/officeDocument/2006/relationships/hyperlink" Target="mailto:jasaiz@richmondcc.edu" TargetMode="External"/><Relationship Id="rId27" Type="http://schemas.openxmlformats.org/officeDocument/2006/relationships/hyperlink" Target="mailto:jbwilson4382@richmondcc.edu" TargetMode="External"/><Relationship Id="rId30" Type="http://schemas.openxmlformats.org/officeDocument/2006/relationships/hyperlink" Target="mailto:rlbradley@richmondcc.edu" TargetMode="External"/><Relationship Id="rId35" Type="http://schemas.openxmlformats.org/officeDocument/2006/relationships/hyperlink" Target="mailto:lavuncannon@richmondcc.edu" TargetMode="External"/><Relationship Id="rId8" Type="http://schemas.openxmlformats.org/officeDocument/2006/relationships/hyperlink" Target="mailto:afmeares@richmondcc.edu" TargetMode="External"/><Relationship Id="rId3" Type="http://schemas.openxmlformats.org/officeDocument/2006/relationships/hyperlink" Target="mailto:dedial@richmondcc.edu"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www.cfnc.org/plan-your-future/plan-for-college/transfer-student-planner/to-unc-system-institutions/transfer-guides/" TargetMode="External"/><Relationship Id="rId18" Type="http://schemas.openxmlformats.org/officeDocument/2006/relationships/hyperlink" Target="https://admissions.unc.edu/apply/types-of-applications/c-step/" TargetMode="External"/><Relationship Id="rId26" Type="http://schemas.openxmlformats.org/officeDocument/2006/relationships/hyperlink" Target="https://www.lmc.edu/online-programs/community-college-partners.htm" TargetMode="External"/><Relationship Id="rId39" Type="http://schemas.openxmlformats.org/officeDocument/2006/relationships/hyperlink" Target="https://www.citadel.edu/college-transfer-program/" TargetMode="External"/><Relationship Id="rId21" Type="http://schemas.openxmlformats.org/officeDocument/2006/relationships/hyperlink" Target="https://piratepromise.ecu.edu/" TargetMode="External"/><Relationship Id="rId34" Type="http://schemas.openxmlformats.org/officeDocument/2006/relationships/hyperlink" Target="https://www.columbiasc.edu/" TargetMode="External"/><Relationship Id="rId42" Type="http://schemas.openxmlformats.org/officeDocument/2006/relationships/hyperlink" Target="https://www.uncp.edu/academics/transfer-pathways/brave-nation-advantage.html" TargetMode="External"/><Relationship Id="rId7" Type="http://schemas.openxmlformats.org/officeDocument/2006/relationships/hyperlink" Target="https://www.cfnc.org/plan-your-future/plan-for-college/transfer-student-planner/to-unc-system-institutions/transfer-guides/" TargetMode="External"/><Relationship Id="rId2" Type="http://schemas.openxmlformats.org/officeDocument/2006/relationships/hyperlink" Target="https://www.franklin.edu/info/cca-richmond-community-college-info" TargetMode="External"/><Relationship Id="rId16" Type="http://schemas.openxmlformats.org/officeDocument/2006/relationships/hyperlink" Target="https://applytouncp.force.com/apply/TX_SiteLogin?startURL=%2Fapply%2FTargetX_Portal__PB" TargetMode="External"/><Relationship Id="rId29" Type="http://schemas.openxmlformats.org/officeDocument/2006/relationships/hyperlink" Target="https://ncwu.edu/academics/partnerships/community-college-transfer-credit-partnerships/" TargetMode="External"/><Relationship Id="rId1" Type="http://schemas.openxmlformats.org/officeDocument/2006/relationships/hyperlink" Target="https://www.cfnc.org/plan-your-future/plan-for-college/transfer-student-planner/to-unc-system-institutions/transfer-guides/" TargetMode="External"/><Relationship Id="rId6" Type="http://schemas.openxmlformats.org/officeDocument/2006/relationships/hyperlink" Target="https://www.pfeiffer.edu/admissions/degree-completion-admissions/transfer-students-degree-completion/" TargetMode="External"/><Relationship Id="rId11" Type="http://schemas.openxmlformats.org/officeDocument/2006/relationships/hyperlink" Target="https://www.cfnc.org/plan-your-future/plan-for-college/transfer-student-planner/to-unc-system-institutions/transfer-guides/" TargetMode="External"/><Relationship Id="rId24" Type="http://schemas.openxmlformats.org/officeDocument/2006/relationships/hyperlink" Target="https://www.coker.edu/admissions/bridge-programs/richmond-community-college/" TargetMode="External"/><Relationship Id="rId32" Type="http://schemas.openxmlformats.org/officeDocument/2006/relationships/hyperlink" Target="https://partners.wgu.edu/transferring-page?stateId=62&amp;instId=571" TargetMode="External"/><Relationship Id="rId37" Type="http://schemas.openxmlformats.org/officeDocument/2006/relationships/hyperlink" Target="https://www.cfnc.org/plan-your-future/plan-for-college/transfer-student-planner/to-unc-system-institutions/transfer-guides/" TargetMode="External"/><Relationship Id="rId40" Type="http://schemas.openxmlformats.org/officeDocument/2006/relationships/hyperlink" Target="https://cet.ecu.edu/techsystems/undergraduate-programs/industrial-technology-transfer/" TargetMode="External"/><Relationship Id="rId45" Type="http://schemas.openxmlformats.org/officeDocument/2006/relationships/hyperlink" Target="https://www.wcu.edu/apply/undergraduate-admissions/transfer-students/agreements-with-other-schools/admissions-partnerships/wcuconnect.aspx" TargetMode="External"/><Relationship Id="rId5" Type="http://schemas.openxmlformats.org/officeDocument/2006/relationships/hyperlink" Target="https://www.cfnc.org/plan-your-future/plan-for-college/transfer-student-planner/to-unc-system-institutions/transfer-guides/" TargetMode="External"/><Relationship Id="rId15" Type="http://schemas.openxmlformats.org/officeDocument/2006/relationships/hyperlink" Target="https://uncw.edu/admissions/undergraduate/transfer/nc-community/" TargetMode="External"/><Relationship Id="rId23" Type="http://schemas.openxmlformats.org/officeDocument/2006/relationships/hyperlink" Target="https://atriumhealth.org/education/carolinas-college-of-health-sciences" TargetMode="External"/><Relationship Id="rId28" Type="http://schemas.openxmlformats.org/officeDocument/2006/relationships/hyperlink" Target="https://mvnu.edu/apply/apply-transfer-student/" TargetMode="External"/><Relationship Id="rId36" Type="http://schemas.openxmlformats.org/officeDocument/2006/relationships/hyperlink" Target="https://www.cfnc.org/plan-your-future/plan-for-college/transfer-student-planner/to-unc-system-institutions/transfer-guides/" TargetMode="External"/><Relationship Id="rId10" Type="http://schemas.openxmlformats.org/officeDocument/2006/relationships/hyperlink" Target="https://www.cfnc.org/plan-your-future/plan-for-college/transfer-student-planner/to-unc-system-institutions/transfer-guides/" TargetMode="External"/><Relationship Id="rId19" Type="http://schemas.openxmlformats.org/officeDocument/2006/relationships/hyperlink" Target="https://c3.ncsu.edu/about/" TargetMode="External"/><Relationship Id="rId31" Type="http://schemas.openxmlformats.org/officeDocument/2006/relationships/hyperlink" Target="https://my.umo.edu/external/pages/transfer-agreements" TargetMode="External"/><Relationship Id="rId44" Type="http://schemas.openxmlformats.org/officeDocument/2006/relationships/hyperlink" Target="https://gardner-webb.edu/admissions-aid/transfer-students/equivalencies/articulation-agreements/nursing-bridge-agreement/" TargetMode="External"/><Relationship Id="rId4" Type="http://schemas.openxmlformats.org/officeDocument/2006/relationships/hyperlink" Target="https://www.cfnc.org/plan-your-future/plan-for-college/transfer-student-planner/to-unc-system-institutions/transfer-guides/" TargetMode="External"/><Relationship Id="rId9" Type="http://schemas.openxmlformats.org/officeDocument/2006/relationships/hyperlink" Target="https://www.cfnc.org/plan-your-future/plan-for-college/transfer-student-planner/to-unc-system-institutions/transfer-guides/" TargetMode="External"/><Relationship Id="rId14" Type="http://schemas.openxmlformats.org/officeDocument/2006/relationships/hyperlink" Target="https://www.cfnc.org/plan-your-future/plan-for-college/transfer-student-planner/to-unc-system-institutions/transfer-guides/" TargetMode="External"/><Relationship Id="rId22" Type="http://schemas.openxmlformats.org/officeDocument/2006/relationships/hyperlink" Target="https://aspen.smartcatalogiq.com/en/academic-year-2024-2025/academic-catalog/academic-information-and-policies/transfer-credit-policy/" TargetMode="External"/><Relationship Id="rId27" Type="http://schemas.openxmlformats.org/officeDocument/2006/relationships/hyperlink" Target="https://www.meredith.edu/registrar/transfer-information" TargetMode="External"/><Relationship Id="rId30" Type="http://schemas.openxmlformats.org/officeDocument/2006/relationships/hyperlink" Target="https://www.queens.edu/admissions/transfer-admission-process/" TargetMode="External"/><Relationship Id="rId35" Type="http://schemas.openxmlformats.org/officeDocument/2006/relationships/hyperlink" Target="https://www.faytechcc.edu/blog/ftcc-partners-with-richmond-cc-for-specialized-training-programs/" TargetMode="External"/><Relationship Id="rId43" Type="http://schemas.openxmlformats.org/officeDocument/2006/relationships/hyperlink" Target="https://gardner-webb.edu/admissions-aid/transfer-students/equivalencies/articulation-agreements/comprehensive-associate-of-applied-science-pathway-agreement/" TargetMode="External"/><Relationship Id="rId8" Type="http://schemas.openxmlformats.org/officeDocument/2006/relationships/hyperlink" Target="https://www.cfnc.org/plan-your-future/plan-for-college/transfer-student-planner/to-unc-system-institutions/transfer-guides/" TargetMode="External"/><Relationship Id="rId3" Type="http://schemas.openxmlformats.org/officeDocument/2006/relationships/hyperlink" Target="https://www.cfnc.org/plan-your-future/plan-for-college/transfer-student-planner/to-unc-system-institutions/transfer-guides/" TargetMode="External"/><Relationship Id="rId12" Type="http://schemas.openxmlformats.org/officeDocument/2006/relationships/hyperlink" Target="https://www.cfnc.org/plan-your-future/plan-for-college/transfer-student-planner/to-unc-system-institutions/transfer-guides/" TargetMode="External"/><Relationship Id="rId17" Type="http://schemas.openxmlformats.org/officeDocument/2006/relationships/hyperlink" Target="https://www.ncat.edu/admissions/transfer-admissions/aggie-plus-program.php" TargetMode="External"/><Relationship Id="rId25" Type="http://schemas.openxmlformats.org/officeDocument/2006/relationships/hyperlink" Target="https://www.excelsior.edu/partner/richmond-community-college-nc/" TargetMode="External"/><Relationship Id="rId33" Type="http://schemas.openxmlformats.org/officeDocument/2006/relationships/hyperlink" Target="https://www.wingate.edu/admissions/gateway" TargetMode="External"/><Relationship Id="rId38" Type="http://schemas.openxmlformats.org/officeDocument/2006/relationships/hyperlink" Target="https://www.cfnc.org/plan-your-future/plan-for-college/transfer-student-planner/to-unc-system-institutions/transfer-guides/" TargetMode="External"/><Relationship Id="rId20" Type="http://schemas.openxmlformats.org/officeDocument/2006/relationships/hyperlink" Target="https://gardner-webb.edu/admissions-aid/transfer-students/equivalencies/articulation-agreements/bulldgo-bound-richmondcc/" TargetMode="External"/><Relationship Id="rId41" Type="http://schemas.openxmlformats.org/officeDocument/2006/relationships/hyperlink" Target="https://transfer.appstate.edu/aspi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08911-276A-4276-96A8-25B3BBA48D56}">
  <dimension ref="A1:AU635"/>
  <sheetViews>
    <sheetView tabSelected="1" workbookViewId="0">
      <pane xSplit="2" ySplit="1" topLeftCell="R2" activePane="bottomRight" state="frozen"/>
      <selection pane="bottomRight" activeCell="X113" sqref="X113"/>
      <selection pane="bottomLeft" activeCell="A2" sqref="A2"/>
      <selection pane="topRight" activeCell="B1" sqref="B1"/>
    </sheetView>
  </sheetViews>
  <sheetFormatPr defaultColWidth="3.42578125" defaultRowHeight="14.25" customHeight="1"/>
  <cols>
    <col min="1" max="1" width="33.85546875" style="13" customWidth="1"/>
    <col min="2" max="2" width="48.42578125" customWidth="1"/>
    <col min="3" max="3" width="11.85546875" customWidth="1"/>
    <col min="4" max="12" width="13.140625" style="4" customWidth="1"/>
    <col min="13" max="13" width="21.28515625" style="5" customWidth="1"/>
    <col min="14" max="14" width="21.28515625" style="38" customWidth="1"/>
    <col min="15" max="15" width="15.42578125" style="5" customWidth="1"/>
    <col min="16" max="16" width="13.7109375" style="5" customWidth="1"/>
    <col min="17" max="18" width="9.42578125" style="7" customWidth="1"/>
    <col min="19" max="19" width="14.140625" style="23" customWidth="1"/>
    <col min="20" max="20" width="14.42578125" style="23" customWidth="1"/>
    <col min="21" max="21" width="17" style="23" customWidth="1"/>
    <col min="22" max="26" width="9.42578125" style="23" customWidth="1"/>
    <col min="27" max="27" width="17.42578125" style="8" customWidth="1"/>
    <col min="28" max="28" width="22.7109375" style="16" customWidth="1"/>
    <col min="29" max="42" width="9.42578125" customWidth="1"/>
    <col min="43" max="43" width="51.5703125" style="21" customWidth="1"/>
    <col min="44" max="44" width="45.42578125" customWidth="1"/>
    <col min="45" max="49" width="15.5703125" customWidth="1"/>
  </cols>
  <sheetData>
    <row r="1" spans="1:47" ht="14.25" customHeight="1">
      <c r="A1" s="13" t="s">
        <v>0</v>
      </c>
      <c r="B1" s="98" t="s">
        <v>1</v>
      </c>
      <c r="C1" s="1" t="s">
        <v>2</v>
      </c>
      <c r="D1" s="11" t="s">
        <v>3</v>
      </c>
      <c r="E1" s="11" t="s">
        <v>4</v>
      </c>
      <c r="F1" s="11" t="s">
        <v>5</v>
      </c>
      <c r="G1" s="11" t="s">
        <v>6</v>
      </c>
      <c r="H1" s="11" t="s">
        <v>7</v>
      </c>
      <c r="I1" s="11" t="s">
        <v>8</v>
      </c>
      <c r="J1" s="11" t="s">
        <v>9</v>
      </c>
      <c r="K1" s="11" t="s">
        <v>10</v>
      </c>
      <c r="L1" s="11" t="s">
        <v>11</v>
      </c>
      <c r="M1" s="5" t="s">
        <v>12</v>
      </c>
      <c r="N1" s="38" t="s">
        <v>13</v>
      </c>
      <c r="O1" s="5" t="s">
        <v>14</v>
      </c>
      <c r="P1" s="5" t="s">
        <v>15</v>
      </c>
      <c r="Q1" s="8" t="s">
        <v>16</v>
      </c>
      <c r="R1" s="70" t="s">
        <v>17</v>
      </c>
      <c r="S1" s="22" t="s">
        <v>18</v>
      </c>
      <c r="T1" s="22" t="s">
        <v>19</v>
      </c>
      <c r="U1" s="22" t="s">
        <v>20</v>
      </c>
      <c r="V1" s="22" t="s">
        <v>21</v>
      </c>
      <c r="W1" s="22" t="s">
        <v>22</v>
      </c>
      <c r="X1" s="22" t="s">
        <v>23</v>
      </c>
      <c r="Y1" s="22" t="s">
        <v>24</v>
      </c>
      <c r="Z1" s="22" t="s">
        <v>25</v>
      </c>
      <c r="AA1" s="8" t="s">
        <v>26</v>
      </c>
      <c r="AB1" s="65"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19" t="s">
        <v>42</v>
      </c>
      <c r="AR1" t="s">
        <v>43</v>
      </c>
      <c r="AS1" t="s">
        <v>44</v>
      </c>
      <c r="AT1" t="s">
        <v>45</v>
      </c>
      <c r="AU1" t="s">
        <v>46</v>
      </c>
    </row>
    <row r="2" spans="1:47" ht="14.25" customHeight="1">
      <c r="A2" s="27" t="s">
        <v>47</v>
      </c>
      <c r="B2" s="87" t="s">
        <v>48</v>
      </c>
      <c r="C2" s="97" t="s">
        <v>49</v>
      </c>
      <c r="D2" s="11" t="b">
        <v>1</v>
      </c>
      <c r="E2" s="11"/>
      <c r="F2" s="11"/>
      <c r="G2" s="11"/>
      <c r="H2" s="11"/>
      <c r="I2" s="11"/>
      <c r="J2" s="11"/>
      <c r="K2" s="11"/>
      <c r="L2" s="11"/>
      <c r="M2" s="16"/>
      <c r="N2" s="38">
        <f>1444.42+6025.42</f>
        <v>7469.84</v>
      </c>
      <c r="Q2" s="187">
        <v>52.0304</v>
      </c>
      <c r="R2" s="8" t="b">
        <v>1</v>
      </c>
      <c r="S2" s="23" t="b">
        <v>1</v>
      </c>
      <c r="T2" s="23" t="s">
        <v>50</v>
      </c>
      <c r="U2" s="23" t="b">
        <v>1</v>
      </c>
      <c r="V2" s="23" t="b">
        <v>1</v>
      </c>
      <c r="W2" s="23" t="s">
        <v>50</v>
      </c>
      <c r="X2" s="23" t="s">
        <v>50</v>
      </c>
      <c r="Z2" s="23" t="s">
        <v>50</v>
      </c>
      <c r="AA2" s="17" t="s">
        <v>51</v>
      </c>
      <c r="AB2" s="66" t="s">
        <v>52</v>
      </c>
      <c r="AC2" s="2" t="s">
        <v>53</v>
      </c>
      <c r="AD2" s="2" t="s">
        <v>54</v>
      </c>
      <c r="AE2" s="2" t="s">
        <v>55</v>
      </c>
      <c r="AF2" s="2" t="s">
        <v>56</v>
      </c>
      <c r="AG2" s="2" t="s">
        <v>57</v>
      </c>
      <c r="AH2" s="2" t="s">
        <v>58</v>
      </c>
      <c r="AI2" s="2" t="s">
        <v>59</v>
      </c>
      <c r="AJ2" s="2"/>
      <c r="AK2" s="2"/>
      <c r="AL2" s="2"/>
      <c r="AM2" s="2"/>
      <c r="AN2" s="2"/>
      <c r="AO2" s="2"/>
      <c r="AP2" s="2"/>
      <c r="AQ2" s="44" t="s">
        <v>60</v>
      </c>
      <c r="AR2" t="s">
        <v>61</v>
      </c>
      <c r="AT2" s="46">
        <v>6838.04</v>
      </c>
      <c r="AU2" s="46">
        <v>19126.04</v>
      </c>
    </row>
    <row r="3" spans="1:47" ht="14.25" customHeight="1">
      <c r="A3" s="27" t="s">
        <v>62</v>
      </c>
      <c r="B3" s="87" t="s">
        <v>63</v>
      </c>
      <c r="C3" s="97" t="s">
        <v>49</v>
      </c>
      <c r="D3" s="11"/>
      <c r="E3" s="11" t="b">
        <v>1</v>
      </c>
      <c r="F3" s="11"/>
      <c r="G3" s="11"/>
      <c r="H3" s="11"/>
      <c r="I3" s="11"/>
      <c r="J3" s="11"/>
      <c r="K3" s="11"/>
      <c r="L3" s="11"/>
      <c r="M3" s="16" t="s">
        <v>64</v>
      </c>
      <c r="Q3" s="187"/>
      <c r="R3" s="8" t="b">
        <v>1</v>
      </c>
      <c r="S3" s="23" t="s">
        <v>50</v>
      </c>
      <c r="U3" s="23" t="s">
        <v>50</v>
      </c>
      <c r="V3" s="23" t="s">
        <v>50</v>
      </c>
      <c r="W3" s="23" t="s">
        <v>50</v>
      </c>
      <c r="X3" s="23" t="b">
        <v>1</v>
      </c>
      <c r="Z3" s="23" t="s">
        <v>50</v>
      </c>
      <c r="AB3" s="66" t="s">
        <v>65</v>
      </c>
      <c r="AC3" s="2" t="s">
        <v>66</v>
      </c>
      <c r="AD3" s="2"/>
      <c r="AE3" s="2"/>
      <c r="AF3" s="2"/>
      <c r="AG3" s="2"/>
      <c r="AH3" s="2"/>
      <c r="AI3" s="2"/>
      <c r="AJ3" s="2"/>
      <c r="AK3" s="2"/>
      <c r="AL3" s="2"/>
      <c r="AM3" s="2"/>
      <c r="AN3" s="2"/>
      <c r="AO3" s="2"/>
      <c r="AP3" s="2"/>
      <c r="AQ3" s="20" t="s">
        <v>67</v>
      </c>
      <c r="AR3" t="s">
        <v>68</v>
      </c>
      <c r="AT3" s="46">
        <v>0</v>
      </c>
      <c r="AU3" s="46">
        <v>0</v>
      </c>
    </row>
    <row r="4" spans="1:47" ht="14.25" customHeight="1">
      <c r="A4" s="27" t="s">
        <v>62</v>
      </c>
      <c r="B4" s="87" t="s">
        <v>69</v>
      </c>
      <c r="C4" s="97" t="s">
        <v>70</v>
      </c>
      <c r="D4" s="11"/>
      <c r="E4" s="11"/>
      <c r="F4" s="11" t="b">
        <v>1</v>
      </c>
      <c r="G4" s="11"/>
      <c r="H4" s="11"/>
      <c r="I4" s="11"/>
      <c r="J4" s="11"/>
      <c r="K4" s="11"/>
      <c r="L4" s="11"/>
      <c r="M4" s="83"/>
      <c r="Q4" s="187"/>
      <c r="R4" s="8"/>
      <c r="S4" s="23" t="s">
        <v>50</v>
      </c>
      <c r="T4" s="23" t="s">
        <v>50</v>
      </c>
      <c r="U4" s="23" t="s">
        <v>50</v>
      </c>
      <c r="V4" s="23" t="s">
        <v>50</v>
      </c>
      <c r="W4" s="23" t="b">
        <v>1</v>
      </c>
      <c r="X4" s="23" t="s">
        <v>50</v>
      </c>
      <c r="Z4" s="23" t="s">
        <v>50</v>
      </c>
      <c r="AB4" s="66" t="s">
        <v>71</v>
      </c>
      <c r="AC4" s="2"/>
      <c r="AD4" s="2"/>
      <c r="AE4" s="2"/>
      <c r="AF4" s="2"/>
      <c r="AG4" s="2"/>
      <c r="AH4" s="2"/>
      <c r="AI4" s="2"/>
      <c r="AJ4" s="2"/>
      <c r="AK4" s="2"/>
      <c r="AL4" s="2"/>
      <c r="AM4" s="2"/>
      <c r="AN4" s="2"/>
      <c r="AO4" s="2"/>
      <c r="AP4" s="2"/>
      <c r="AQ4" s="20" t="s">
        <v>72</v>
      </c>
      <c r="AR4" t="s">
        <v>73</v>
      </c>
      <c r="AT4" s="46"/>
      <c r="AU4" s="46"/>
    </row>
    <row r="5" spans="1:47" ht="14.25" customHeight="1">
      <c r="A5" s="27" t="s">
        <v>74</v>
      </c>
      <c r="B5" s="87" t="s">
        <v>75</v>
      </c>
      <c r="C5" s="97" t="s">
        <v>49</v>
      </c>
      <c r="D5" s="11"/>
      <c r="E5" s="11"/>
      <c r="F5" s="11"/>
      <c r="G5" s="11" t="b">
        <v>1</v>
      </c>
      <c r="H5" s="11"/>
      <c r="I5" s="11"/>
      <c r="J5" s="11"/>
      <c r="K5" s="11"/>
      <c r="L5" s="11"/>
      <c r="M5" s="200"/>
      <c r="N5" s="38">
        <f>874.91+6671.91</f>
        <v>7546.82</v>
      </c>
      <c r="Q5" s="187">
        <v>47.020099999999999</v>
      </c>
      <c r="R5" s="8"/>
      <c r="S5" s="23" t="b">
        <v>1</v>
      </c>
      <c r="T5" s="23" t="b">
        <v>1</v>
      </c>
      <c r="U5" s="23" t="b">
        <v>1</v>
      </c>
      <c r="V5" s="23" t="b">
        <v>1</v>
      </c>
      <c r="W5" s="23" t="b">
        <v>1</v>
      </c>
      <c r="X5" s="23" t="s">
        <v>50</v>
      </c>
      <c r="Z5" s="23" t="s">
        <v>50</v>
      </c>
      <c r="AB5" s="66" t="s">
        <v>76</v>
      </c>
      <c r="AC5" s="2" t="s">
        <v>77</v>
      </c>
      <c r="AD5" s="2"/>
      <c r="AE5" s="2"/>
      <c r="AF5" s="2"/>
      <c r="AG5" s="2"/>
      <c r="AH5" s="2"/>
      <c r="AI5" s="2"/>
      <c r="AJ5" s="2"/>
      <c r="AK5" s="2"/>
      <c r="AL5" s="2"/>
      <c r="AM5" s="2"/>
      <c r="AN5" s="2"/>
      <c r="AO5" s="2"/>
      <c r="AP5" s="2"/>
      <c r="AQ5" s="44" t="s">
        <v>78</v>
      </c>
      <c r="AR5" t="s">
        <v>79</v>
      </c>
      <c r="AT5" s="46">
        <v>6005.81</v>
      </c>
      <c r="AU5" s="46">
        <v>18101.810000000001</v>
      </c>
    </row>
    <row r="6" spans="1:47" ht="14.25" customHeight="1">
      <c r="A6" s="27" t="s">
        <v>80</v>
      </c>
      <c r="B6" s="87" t="s">
        <v>81</v>
      </c>
      <c r="C6" s="97" t="s">
        <v>49</v>
      </c>
      <c r="D6" s="11"/>
      <c r="E6" s="11"/>
      <c r="F6" s="11"/>
      <c r="G6" s="11"/>
      <c r="H6" s="11" t="b">
        <v>1</v>
      </c>
      <c r="I6" s="11"/>
      <c r="J6" s="11"/>
      <c r="K6" s="11"/>
      <c r="L6" s="11"/>
      <c r="M6" s="16"/>
      <c r="N6" s="39">
        <f>3865.76+9499.76</f>
        <v>13365.52</v>
      </c>
      <c r="Q6" s="187">
        <v>51.380099999999999</v>
      </c>
      <c r="R6" s="8"/>
      <c r="S6" s="23" t="b">
        <v>1</v>
      </c>
      <c r="T6" s="23" t="s">
        <v>50</v>
      </c>
      <c r="U6" s="23" t="s">
        <v>50</v>
      </c>
      <c r="V6" s="23" t="b">
        <v>1</v>
      </c>
      <c r="W6" s="23" t="s">
        <v>50</v>
      </c>
      <c r="X6" s="23" t="s">
        <v>50</v>
      </c>
      <c r="Z6" s="23" t="s">
        <v>50</v>
      </c>
      <c r="AB6" s="66" t="s">
        <v>82</v>
      </c>
      <c r="AC6" s="2" t="s">
        <v>83</v>
      </c>
      <c r="AD6" s="2" t="s">
        <v>53</v>
      </c>
      <c r="AE6" s="2" t="s">
        <v>84</v>
      </c>
      <c r="AF6" s="2" t="s">
        <v>85</v>
      </c>
      <c r="AG6" s="3" t="s">
        <v>86</v>
      </c>
      <c r="AH6" s="2" t="s">
        <v>87</v>
      </c>
      <c r="AI6" s="2" t="s">
        <v>88</v>
      </c>
      <c r="AJ6" s="2" t="s">
        <v>56</v>
      </c>
      <c r="AK6" s="2" t="s">
        <v>59</v>
      </c>
      <c r="AL6" s="2" t="s">
        <v>58</v>
      </c>
      <c r="AM6" s="2" t="s">
        <v>89</v>
      </c>
      <c r="AN6" s="2" t="s">
        <v>90</v>
      </c>
      <c r="AO6" s="2"/>
      <c r="AP6" s="2"/>
      <c r="AQ6" s="44" t="s">
        <v>91</v>
      </c>
      <c r="AR6" t="s">
        <v>92</v>
      </c>
      <c r="AT6" s="46">
        <v>10888.55</v>
      </c>
      <c r="AU6" s="46">
        <v>23560.55</v>
      </c>
    </row>
    <row r="7" spans="1:47" ht="14.25" customHeight="1">
      <c r="A7" s="27" t="s">
        <v>93</v>
      </c>
      <c r="B7" s="87" t="s">
        <v>94</v>
      </c>
      <c r="C7" s="97" t="s">
        <v>49</v>
      </c>
      <c r="D7" s="11"/>
      <c r="E7" s="11"/>
      <c r="F7" s="11"/>
      <c r="G7" s="11"/>
      <c r="H7" s="11"/>
      <c r="I7" s="11" t="b">
        <v>1</v>
      </c>
      <c r="J7" s="11"/>
      <c r="K7" s="11"/>
      <c r="L7" s="11"/>
      <c r="M7" s="16"/>
      <c r="N7" s="38">
        <f>2190.61+7987.61</f>
        <v>10178.219999999999</v>
      </c>
      <c r="Q7" s="187">
        <v>24.010100000000001</v>
      </c>
      <c r="R7" s="8" t="b">
        <v>1</v>
      </c>
      <c r="S7" s="23" t="b">
        <v>1</v>
      </c>
      <c r="T7" s="23" t="s">
        <v>50</v>
      </c>
      <c r="U7" s="23" t="s">
        <v>50</v>
      </c>
      <c r="V7" s="23" t="b">
        <v>1</v>
      </c>
      <c r="W7" s="23" t="s">
        <v>50</v>
      </c>
      <c r="X7" s="23" t="s">
        <v>50</v>
      </c>
      <c r="Z7" s="23" t="s">
        <v>50</v>
      </c>
      <c r="AB7" s="66" t="s">
        <v>95</v>
      </c>
      <c r="AC7" s="2" t="s">
        <v>86</v>
      </c>
      <c r="AD7" s="2" t="s">
        <v>96</v>
      </c>
      <c r="AE7" s="2" t="s">
        <v>85</v>
      </c>
      <c r="AF7" s="2" t="s">
        <v>97</v>
      </c>
      <c r="AG7" s="2" t="s">
        <v>98</v>
      </c>
      <c r="AH7" s="2" t="s">
        <v>99</v>
      </c>
      <c r="AI7" s="2" t="s">
        <v>100</v>
      </c>
      <c r="AJ7" s="2" t="s">
        <v>101</v>
      </c>
      <c r="AK7" s="2" t="s">
        <v>102</v>
      </c>
      <c r="AL7" s="2" t="s">
        <v>103</v>
      </c>
      <c r="AM7" s="2" t="s">
        <v>104</v>
      </c>
      <c r="AN7" s="2" t="s">
        <v>90</v>
      </c>
      <c r="AO7" s="2"/>
      <c r="AP7" s="2"/>
      <c r="AQ7" s="44" t="s">
        <v>105</v>
      </c>
      <c r="AR7" t="s">
        <v>106</v>
      </c>
      <c r="AT7" s="46">
        <v>7043.61</v>
      </c>
      <c r="AU7" s="46">
        <v>18563.61</v>
      </c>
    </row>
    <row r="8" spans="1:47" ht="14.25" customHeight="1">
      <c r="A8" s="27" t="s">
        <v>107</v>
      </c>
      <c r="B8" s="87" t="s">
        <v>108</v>
      </c>
      <c r="C8" s="97" t="s">
        <v>49</v>
      </c>
      <c r="D8" s="11"/>
      <c r="E8" s="11"/>
      <c r="F8" s="11"/>
      <c r="G8" s="11"/>
      <c r="H8" s="11"/>
      <c r="I8" s="11" t="b">
        <v>1</v>
      </c>
      <c r="J8" s="11" t="b">
        <v>1</v>
      </c>
      <c r="K8" s="11"/>
      <c r="L8" s="11"/>
      <c r="M8" s="16"/>
      <c r="N8" s="38">
        <v>4636</v>
      </c>
      <c r="Q8" s="187">
        <v>24.010100000000001</v>
      </c>
      <c r="R8" s="8" t="b">
        <v>1</v>
      </c>
      <c r="S8" s="23" t="b">
        <v>1</v>
      </c>
      <c r="T8" s="23" t="s">
        <v>50</v>
      </c>
      <c r="U8" s="23" t="s">
        <v>50</v>
      </c>
      <c r="V8" s="23" t="b">
        <v>1</v>
      </c>
      <c r="W8" s="23" t="s">
        <v>50</v>
      </c>
      <c r="X8" s="23" t="s">
        <v>50</v>
      </c>
      <c r="Z8" s="23" t="s">
        <v>50</v>
      </c>
      <c r="AB8" s="66" t="s">
        <v>109</v>
      </c>
      <c r="AC8" s="2" t="s">
        <v>86</v>
      </c>
      <c r="AD8" s="2" t="s">
        <v>96</v>
      </c>
      <c r="AE8" s="2" t="s">
        <v>85</v>
      </c>
      <c r="AF8" s="2" t="s">
        <v>97</v>
      </c>
      <c r="AG8" s="2" t="s">
        <v>98</v>
      </c>
      <c r="AH8" s="2" t="s">
        <v>100</v>
      </c>
      <c r="AI8" s="2" t="s">
        <v>100</v>
      </c>
      <c r="AJ8" s="2" t="s">
        <v>101</v>
      </c>
      <c r="AK8" s="2" t="s">
        <v>102</v>
      </c>
      <c r="AL8" s="2" t="s">
        <v>103</v>
      </c>
      <c r="AM8" s="2" t="s">
        <v>104</v>
      </c>
      <c r="AN8" s="2" t="s">
        <v>90</v>
      </c>
      <c r="AO8" s="2"/>
      <c r="AP8" s="2"/>
      <c r="AQ8" s="44" t="s">
        <v>110</v>
      </c>
      <c r="AR8" t="s">
        <v>111</v>
      </c>
      <c r="AT8" s="46">
        <v>6370.53</v>
      </c>
      <c r="AU8" s="46">
        <v>17890.53</v>
      </c>
    </row>
    <row r="9" spans="1:47" ht="14.25" customHeight="1">
      <c r="A9" s="27" t="s">
        <v>112</v>
      </c>
      <c r="B9" s="88" t="s">
        <v>113</v>
      </c>
      <c r="C9" s="97" t="s">
        <v>49</v>
      </c>
      <c r="D9" s="11"/>
      <c r="E9" s="11"/>
      <c r="F9" s="11"/>
      <c r="G9" s="11"/>
      <c r="H9" s="11"/>
      <c r="I9" s="11" t="b">
        <v>1</v>
      </c>
      <c r="J9" s="11"/>
      <c r="K9" s="11" t="b">
        <v>1</v>
      </c>
      <c r="L9" s="11"/>
      <c r="M9" s="16"/>
      <c r="N9" s="38">
        <f>1346.41+7143.41</f>
        <v>8489.82</v>
      </c>
      <c r="Q9" s="187">
        <v>14.010199999999999</v>
      </c>
      <c r="R9" s="8"/>
      <c r="S9" s="23" t="b">
        <v>1</v>
      </c>
      <c r="T9" s="23" t="s">
        <v>50</v>
      </c>
      <c r="U9" s="23" t="s">
        <v>50</v>
      </c>
      <c r="V9" s="23" t="b">
        <v>1</v>
      </c>
      <c r="W9" s="23" t="s">
        <v>50</v>
      </c>
      <c r="X9" s="23" t="s">
        <v>50</v>
      </c>
      <c r="Z9" s="23" t="s">
        <v>50</v>
      </c>
      <c r="AB9" s="66" t="s">
        <v>114</v>
      </c>
      <c r="AC9" s="2" t="s">
        <v>86</v>
      </c>
      <c r="AD9" s="2" t="s">
        <v>96</v>
      </c>
      <c r="AE9" s="2" t="s">
        <v>85</v>
      </c>
      <c r="AF9" s="2" t="s">
        <v>97</v>
      </c>
      <c r="AG9" s="2" t="s">
        <v>115</v>
      </c>
      <c r="AH9" s="2" t="s">
        <v>116</v>
      </c>
      <c r="AI9" s="2" t="s">
        <v>117</v>
      </c>
      <c r="AJ9" s="2" t="s">
        <v>90</v>
      </c>
      <c r="AK9" s="2" t="s">
        <v>102</v>
      </c>
      <c r="AL9" s="2"/>
      <c r="AM9" s="2"/>
      <c r="AN9" s="2"/>
      <c r="AO9" s="2"/>
      <c r="AP9" s="2"/>
      <c r="AQ9" s="44" t="s">
        <v>118</v>
      </c>
      <c r="AR9" t="s">
        <v>119</v>
      </c>
      <c r="AT9" s="46">
        <v>6222.41</v>
      </c>
      <c r="AU9" s="46">
        <v>17934.41</v>
      </c>
    </row>
    <row r="10" spans="1:47" ht="14.25" customHeight="1">
      <c r="A10" s="105" t="s">
        <v>120</v>
      </c>
      <c r="B10" s="106" t="s">
        <v>121</v>
      </c>
      <c r="C10" s="107" t="s">
        <v>49</v>
      </c>
      <c r="D10" s="11"/>
      <c r="E10" s="11"/>
      <c r="F10" s="11"/>
      <c r="G10" s="11"/>
      <c r="H10" s="11"/>
      <c r="I10" s="11" t="b">
        <v>1</v>
      </c>
      <c r="J10" s="11"/>
      <c r="K10" s="11"/>
      <c r="L10" s="11"/>
      <c r="M10" s="16"/>
      <c r="N10" s="38">
        <v>4636</v>
      </c>
      <c r="Q10" s="187">
        <v>24.010100000000001</v>
      </c>
      <c r="R10" s="8"/>
      <c r="S10" s="23" t="b">
        <v>1</v>
      </c>
      <c r="T10" s="23" t="s">
        <v>50</v>
      </c>
      <c r="U10" s="23" t="s">
        <v>50</v>
      </c>
      <c r="V10" s="23" t="b">
        <v>1</v>
      </c>
      <c r="W10" s="23" t="s">
        <v>50</v>
      </c>
      <c r="X10" s="23" t="s">
        <v>50</v>
      </c>
      <c r="Z10" s="23" t="s">
        <v>50</v>
      </c>
      <c r="AB10" s="66"/>
      <c r="AC10" s="2" t="s">
        <v>86</v>
      </c>
      <c r="AD10" s="2" t="s">
        <v>96</v>
      </c>
      <c r="AE10" s="2" t="s">
        <v>85</v>
      </c>
      <c r="AF10" s="2" t="s">
        <v>97</v>
      </c>
      <c r="AG10" s="2" t="s">
        <v>98</v>
      </c>
      <c r="AH10" s="2"/>
      <c r="AI10" s="2"/>
      <c r="AJ10" s="2"/>
      <c r="AK10" s="2"/>
      <c r="AL10" s="2"/>
      <c r="AM10" s="2"/>
      <c r="AN10" s="2"/>
      <c r="AO10" s="2"/>
      <c r="AP10" s="2"/>
      <c r="AQ10" s="44" t="s">
        <v>122</v>
      </c>
      <c r="AR10" t="s">
        <v>123</v>
      </c>
      <c r="AT10" s="46">
        <v>7640.11</v>
      </c>
      <c r="AU10" s="46">
        <v>19928.11</v>
      </c>
    </row>
    <row r="11" spans="1:47" ht="15" customHeight="1">
      <c r="A11" s="27" t="s">
        <v>124</v>
      </c>
      <c r="B11" s="87" t="s">
        <v>125</v>
      </c>
      <c r="C11" s="97" t="s">
        <v>49</v>
      </c>
      <c r="D11" s="11"/>
      <c r="E11" s="11"/>
      <c r="F11" s="11"/>
      <c r="G11" s="11"/>
      <c r="H11" s="11"/>
      <c r="I11" s="11" t="b">
        <v>1</v>
      </c>
      <c r="J11" s="11" t="b">
        <v>1</v>
      </c>
      <c r="K11" s="11"/>
      <c r="L11" s="11"/>
      <c r="M11" s="16"/>
      <c r="N11" s="38">
        <f>1524.11+7321.11</f>
        <v>8845.2199999999993</v>
      </c>
      <c r="Q11" s="187">
        <v>24.010100000000001</v>
      </c>
      <c r="R11" s="8" t="b">
        <v>1</v>
      </c>
      <c r="S11" s="23" t="b">
        <v>1</v>
      </c>
      <c r="T11" s="23" t="s">
        <v>50</v>
      </c>
      <c r="U11" s="23" t="s">
        <v>50</v>
      </c>
      <c r="V11" s="23" t="b">
        <v>1</v>
      </c>
      <c r="W11" s="23" t="s">
        <v>50</v>
      </c>
      <c r="X11" s="23" t="s">
        <v>50</v>
      </c>
      <c r="Z11" s="23" t="s">
        <v>50</v>
      </c>
      <c r="AB11" s="66" t="s">
        <v>126</v>
      </c>
      <c r="AC11" s="2" t="s">
        <v>86</v>
      </c>
      <c r="AD11" s="2" t="s">
        <v>96</v>
      </c>
      <c r="AE11" s="2" t="s">
        <v>85</v>
      </c>
      <c r="AF11" s="2" t="s">
        <v>97</v>
      </c>
      <c r="AG11" s="2" t="s">
        <v>98</v>
      </c>
      <c r="AH11" s="2" t="s">
        <v>99</v>
      </c>
      <c r="AI11" s="2" t="s">
        <v>100</v>
      </c>
      <c r="AJ11" s="2" t="s">
        <v>101</v>
      </c>
      <c r="AK11" s="2" t="s">
        <v>102</v>
      </c>
      <c r="AL11" s="2" t="s">
        <v>103</v>
      </c>
      <c r="AM11" s="2" t="s">
        <v>104</v>
      </c>
      <c r="AN11" s="2" t="s">
        <v>90</v>
      </c>
      <c r="AO11" s="2"/>
      <c r="AP11" s="2"/>
      <c r="AQ11" s="44" t="s">
        <v>127</v>
      </c>
      <c r="AR11" t="s">
        <v>128</v>
      </c>
      <c r="AT11" s="46">
        <v>6336.12</v>
      </c>
      <c r="AU11" s="46">
        <v>17856.12</v>
      </c>
    </row>
    <row r="12" spans="1:47" ht="14.25" customHeight="1">
      <c r="A12" s="27" t="s">
        <v>129</v>
      </c>
      <c r="B12" s="87" t="s">
        <v>130</v>
      </c>
      <c r="C12" s="97" t="s">
        <v>49</v>
      </c>
      <c r="D12" s="11"/>
      <c r="E12" s="11"/>
      <c r="F12" s="11"/>
      <c r="G12" s="11"/>
      <c r="H12" s="11"/>
      <c r="I12" s="11" t="b">
        <v>1</v>
      </c>
      <c r="J12" s="11"/>
      <c r="K12" s="11"/>
      <c r="L12" s="11"/>
      <c r="M12" s="16"/>
      <c r="N12" s="38">
        <f>2200.87+7997.87</f>
        <v>10198.74</v>
      </c>
      <c r="Q12" s="187">
        <v>24.010100000000001</v>
      </c>
      <c r="R12" s="8" t="b">
        <v>1</v>
      </c>
      <c r="S12" s="23" t="b">
        <v>1</v>
      </c>
      <c r="T12" s="23" t="s">
        <v>50</v>
      </c>
      <c r="U12" s="23" t="s">
        <v>50</v>
      </c>
      <c r="V12" s="23" t="b">
        <v>1</v>
      </c>
      <c r="W12" s="23" t="s">
        <v>50</v>
      </c>
      <c r="X12" s="23" t="s">
        <v>50</v>
      </c>
      <c r="Z12" s="23" t="s">
        <v>50</v>
      </c>
      <c r="AB12" s="66" t="s">
        <v>131</v>
      </c>
      <c r="AC12" s="2" t="s">
        <v>86</v>
      </c>
      <c r="AD12" s="2" t="s">
        <v>96</v>
      </c>
      <c r="AE12" s="2" t="s">
        <v>132</v>
      </c>
      <c r="AF12" s="2" t="s">
        <v>97</v>
      </c>
      <c r="AG12" s="2" t="s">
        <v>98</v>
      </c>
      <c r="AH12" s="2" t="s">
        <v>99</v>
      </c>
      <c r="AI12" s="2" t="s">
        <v>100</v>
      </c>
      <c r="AJ12" s="2" t="s">
        <v>101</v>
      </c>
      <c r="AK12" s="2" t="s">
        <v>102</v>
      </c>
      <c r="AL12" s="2" t="s">
        <v>103</v>
      </c>
      <c r="AM12" s="2" t="s">
        <v>104</v>
      </c>
      <c r="AN12" s="2" t="s">
        <v>90</v>
      </c>
      <c r="AO12" s="2"/>
      <c r="AP12" s="2"/>
      <c r="AQ12" s="44" t="s">
        <v>133</v>
      </c>
      <c r="AR12" t="s">
        <v>134</v>
      </c>
      <c r="AT12" s="46">
        <v>7053.87</v>
      </c>
      <c r="AU12" s="46">
        <v>18573.87</v>
      </c>
    </row>
    <row r="13" spans="1:47" ht="14.25" customHeight="1">
      <c r="A13" s="90" t="s">
        <v>135</v>
      </c>
      <c r="B13" s="91" t="s">
        <v>136</v>
      </c>
      <c r="C13" s="97" t="s">
        <v>49</v>
      </c>
      <c r="D13" s="11"/>
      <c r="E13" s="11"/>
      <c r="F13" s="11"/>
      <c r="G13" s="11"/>
      <c r="H13" s="11"/>
      <c r="I13" s="11" t="b">
        <v>1</v>
      </c>
      <c r="J13" s="11"/>
      <c r="K13" s="11"/>
      <c r="L13" s="11"/>
      <c r="M13" s="16"/>
      <c r="Q13" s="187"/>
      <c r="R13" s="8"/>
      <c r="X13" s="23" t="b">
        <v>1</v>
      </c>
      <c r="AB13" s="66"/>
      <c r="AC13" s="2"/>
      <c r="AD13" s="2"/>
      <c r="AE13" s="2"/>
      <c r="AF13" s="2"/>
      <c r="AG13" s="2"/>
      <c r="AH13" s="2"/>
      <c r="AI13" s="2"/>
      <c r="AJ13" s="2"/>
      <c r="AK13" s="2"/>
      <c r="AL13" s="2"/>
      <c r="AM13" s="2"/>
      <c r="AN13" s="2"/>
      <c r="AO13" s="2"/>
      <c r="AP13" s="2"/>
      <c r="AQ13" s="44" t="s">
        <v>137</v>
      </c>
      <c r="AR13" s="236" t="s">
        <v>138</v>
      </c>
      <c r="AT13" s="46"/>
      <c r="AU13" s="46"/>
    </row>
    <row r="14" spans="1:47" ht="14.25" customHeight="1">
      <c r="A14" s="27" t="s">
        <v>62</v>
      </c>
      <c r="B14" s="87" t="s">
        <v>139</v>
      </c>
      <c r="C14" s="97" t="s">
        <v>70</v>
      </c>
      <c r="D14" s="11"/>
      <c r="E14" s="11"/>
      <c r="F14" s="11"/>
      <c r="G14" s="11" t="b">
        <v>1</v>
      </c>
      <c r="H14" s="11"/>
      <c r="I14" s="11"/>
      <c r="J14" s="11"/>
      <c r="K14" s="11"/>
      <c r="L14" s="11"/>
      <c r="M14" s="200" t="s">
        <v>140</v>
      </c>
      <c r="Q14" s="187"/>
      <c r="R14" s="8" t="b">
        <v>1</v>
      </c>
      <c r="S14" s="23" t="s">
        <v>50</v>
      </c>
      <c r="T14" s="23" t="s">
        <v>50</v>
      </c>
      <c r="U14" s="23" t="s">
        <v>50</v>
      </c>
      <c r="V14" s="23" t="s">
        <v>50</v>
      </c>
      <c r="W14" s="23" t="b">
        <v>1</v>
      </c>
      <c r="X14" s="23" t="s">
        <v>50</v>
      </c>
      <c r="Z14" s="23" t="s">
        <v>50</v>
      </c>
      <c r="AB14" s="66" t="s">
        <v>141</v>
      </c>
      <c r="AC14" s="2" t="s">
        <v>66</v>
      </c>
      <c r="AD14" s="2"/>
      <c r="AE14" s="2"/>
      <c r="AF14" s="2"/>
      <c r="AG14" s="2"/>
      <c r="AH14" s="2"/>
      <c r="AI14" s="2"/>
      <c r="AJ14" s="2"/>
      <c r="AK14" s="2"/>
      <c r="AL14" s="2"/>
      <c r="AM14" s="2"/>
      <c r="AN14" s="2"/>
      <c r="AO14" s="2"/>
      <c r="AP14" s="2"/>
      <c r="AQ14" s="20" t="s">
        <v>142</v>
      </c>
      <c r="AR14" t="s">
        <v>143</v>
      </c>
      <c r="AT14" s="46"/>
      <c r="AU14" s="46"/>
    </row>
    <row r="15" spans="1:47" ht="14.25" customHeight="1">
      <c r="A15" s="27"/>
      <c r="B15" s="87" t="s">
        <v>144</v>
      </c>
      <c r="C15" s="97" t="s">
        <v>49</v>
      </c>
      <c r="D15" s="11" t="b">
        <v>1</v>
      </c>
      <c r="E15" s="11"/>
      <c r="F15" s="11"/>
      <c r="G15" s="11" t="b">
        <v>1</v>
      </c>
      <c r="H15" s="11"/>
      <c r="I15" s="11"/>
      <c r="J15" s="11"/>
      <c r="K15" s="11"/>
      <c r="L15" s="11"/>
      <c r="M15" s="239">
        <v>70</v>
      </c>
      <c r="Q15" s="187">
        <v>47.060400000000001</v>
      </c>
      <c r="R15" s="8"/>
      <c r="W15" s="23" t="b">
        <v>1</v>
      </c>
      <c r="AB15" s="66" t="s">
        <v>145</v>
      </c>
      <c r="AC15" s="2"/>
      <c r="AD15" s="2"/>
      <c r="AE15" s="2"/>
      <c r="AF15" s="2"/>
      <c r="AG15" s="2"/>
      <c r="AH15" s="2"/>
      <c r="AI15" s="2"/>
      <c r="AJ15" s="2"/>
      <c r="AK15" s="2"/>
      <c r="AL15" s="2"/>
      <c r="AM15" s="2"/>
      <c r="AN15" s="2"/>
      <c r="AO15" s="2"/>
      <c r="AP15" s="2"/>
      <c r="AQ15" s="20" t="s">
        <v>146</v>
      </c>
      <c r="AR15" t="s">
        <v>147</v>
      </c>
      <c r="AT15" s="46">
        <v>70</v>
      </c>
      <c r="AU15" s="46">
        <v>70</v>
      </c>
    </row>
    <row r="16" spans="1:47" ht="14.25" customHeight="1">
      <c r="A16" s="27"/>
      <c r="B16" s="87" t="s">
        <v>148</v>
      </c>
      <c r="C16" s="97" t="s">
        <v>70</v>
      </c>
      <c r="D16" s="11" t="b">
        <v>1</v>
      </c>
      <c r="E16" s="11"/>
      <c r="F16" s="11"/>
      <c r="G16" s="11"/>
      <c r="H16" s="11"/>
      <c r="I16" s="11"/>
      <c r="J16" s="11"/>
      <c r="K16" s="11"/>
      <c r="L16" s="11"/>
      <c r="M16" s="200" t="s">
        <v>140</v>
      </c>
      <c r="Q16" s="187">
        <v>52.080300000000001</v>
      </c>
      <c r="R16" s="8" t="b">
        <v>1</v>
      </c>
      <c r="W16" s="23" t="b">
        <v>1</v>
      </c>
      <c r="AB16" s="66" t="s">
        <v>149</v>
      </c>
      <c r="AC16" s="2"/>
      <c r="AD16" s="2"/>
      <c r="AE16" s="2"/>
      <c r="AF16" s="2"/>
      <c r="AG16" s="2"/>
      <c r="AH16" s="2"/>
      <c r="AI16" s="2"/>
      <c r="AJ16" s="2"/>
      <c r="AK16" s="2"/>
      <c r="AL16" s="2"/>
      <c r="AM16" s="2"/>
      <c r="AN16" s="2"/>
      <c r="AO16" s="2"/>
      <c r="AP16" s="2"/>
      <c r="AQ16" s="20" t="s">
        <v>150</v>
      </c>
      <c r="AR16" t="s">
        <v>151</v>
      </c>
      <c r="AT16" s="46">
        <v>289.25</v>
      </c>
      <c r="AU16" s="46">
        <v>289.25</v>
      </c>
    </row>
    <row r="17" spans="1:47" ht="14.25" customHeight="1">
      <c r="A17" s="27" t="s">
        <v>62</v>
      </c>
      <c r="B17" s="87" t="s">
        <v>152</v>
      </c>
      <c r="C17" s="97" t="s">
        <v>49</v>
      </c>
      <c r="D17" s="11"/>
      <c r="E17" s="11"/>
      <c r="F17" s="11"/>
      <c r="G17" s="11"/>
      <c r="H17" s="11"/>
      <c r="I17" s="11"/>
      <c r="J17" s="11"/>
      <c r="K17" s="11"/>
      <c r="L17" s="11" t="b">
        <v>1</v>
      </c>
      <c r="M17" s="239">
        <v>70</v>
      </c>
      <c r="Q17" s="187"/>
      <c r="R17" s="8"/>
      <c r="S17" s="23" t="s">
        <v>50</v>
      </c>
      <c r="T17" s="23" t="s">
        <v>50</v>
      </c>
      <c r="U17" s="23" t="s">
        <v>50</v>
      </c>
      <c r="V17" s="23" t="s">
        <v>50</v>
      </c>
      <c r="W17" s="23" t="s">
        <v>50</v>
      </c>
      <c r="X17" s="23" t="b">
        <v>1</v>
      </c>
      <c r="Z17" s="23" t="s">
        <v>50</v>
      </c>
      <c r="AB17" s="66" t="s">
        <v>153</v>
      </c>
      <c r="AC17" s="2" t="s">
        <v>66</v>
      </c>
      <c r="AD17" s="2"/>
      <c r="AE17" s="2"/>
      <c r="AF17" s="2"/>
      <c r="AG17" s="2"/>
      <c r="AH17" s="2"/>
      <c r="AI17" s="2"/>
      <c r="AJ17" s="2"/>
      <c r="AK17" s="2"/>
      <c r="AL17" s="2"/>
      <c r="AM17" s="2"/>
      <c r="AN17" s="2"/>
      <c r="AO17" s="2"/>
      <c r="AP17" s="2"/>
      <c r="AQ17" s="20" t="s">
        <v>154</v>
      </c>
      <c r="AR17" t="s">
        <v>155</v>
      </c>
      <c r="AT17" s="46">
        <v>70</v>
      </c>
      <c r="AU17" s="46">
        <v>70</v>
      </c>
    </row>
    <row r="18" spans="1:47" ht="14.25" customHeight="1">
      <c r="A18" s="27" t="s">
        <v>62</v>
      </c>
      <c r="B18" s="87" t="s">
        <v>156</v>
      </c>
      <c r="C18" s="97" t="s">
        <v>49</v>
      </c>
      <c r="D18" s="11"/>
      <c r="E18" s="11"/>
      <c r="F18" s="11" t="b">
        <v>1</v>
      </c>
      <c r="G18" s="11"/>
      <c r="H18" s="11"/>
      <c r="I18" s="11"/>
      <c r="J18" s="11"/>
      <c r="K18" s="11"/>
      <c r="L18" s="11"/>
      <c r="M18" s="200" t="s">
        <v>157</v>
      </c>
      <c r="Q18" s="187"/>
      <c r="R18" s="8"/>
      <c r="S18" s="23" t="s">
        <v>50</v>
      </c>
      <c r="T18" s="23" t="s">
        <v>50</v>
      </c>
      <c r="U18" s="23" t="s">
        <v>50</v>
      </c>
      <c r="V18" s="23" t="s">
        <v>50</v>
      </c>
      <c r="W18" s="23" t="b">
        <v>1</v>
      </c>
      <c r="X18" s="23" t="s">
        <v>50</v>
      </c>
      <c r="Z18" s="23" t="s">
        <v>50</v>
      </c>
      <c r="AB18" s="66" t="s">
        <v>158</v>
      </c>
      <c r="AC18" s="2"/>
      <c r="AD18" s="2"/>
      <c r="AE18" s="2"/>
      <c r="AF18" s="2"/>
      <c r="AG18" s="2"/>
      <c r="AH18" s="2"/>
      <c r="AI18" s="2"/>
      <c r="AJ18" s="2"/>
      <c r="AK18" s="2"/>
      <c r="AL18" s="2"/>
      <c r="AM18" s="2"/>
      <c r="AN18" s="2"/>
      <c r="AO18" s="2"/>
      <c r="AP18" s="2"/>
      <c r="AQ18" s="20" t="s">
        <v>159</v>
      </c>
      <c r="AR18" t="s">
        <v>160</v>
      </c>
      <c r="AT18" s="46">
        <v>1808</v>
      </c>
      <c r="AU18" s="46">
        <v>1808</v>
      </c>
    </row>
    <row r="19" spans="1:47" ht="14.25" customHeight="1">
      <c r="A19" s="27" t="s">
        <v>161</v>
      </c>
      <c r="B19" s="87" t="s">
        <v>162</v>
      </c>
      <c r="C19" s="97" t="s">
        <v>49</v>
      </c>
      <c r="D19" s="11" t="b">
        <v>1</v>
      </c>
      <c r="E19" s="11"/>
      <c r="F19" s="11"/>
      <c r="G19" s="11"/>
      <c r="H19" s="11"/>
      <c r="I19" s="11"/>
      <c r="J19" s="11"/>
      <c r="K19" s="11"/>
      <c r="L19" s="11"/>
      <c r="M19" s="16"/>
      <c r="N19" s="38">
        <f>2253.51+8050.51</f>
        <v>10304.02</v>
      </c>
      <c r="Q19" s="187">
        <v>52.020099999999999</v>
      </c>
      <c r="R19" s="8" t="b">
        <v>1</v>
      </c>
      <c r="S19" s="23" t="b">
        <v>1</v>
      </c>
      <c r="T19" s="23" t="s">
        <v>50</v>
      </c>
      <c r="U19" s="23" t="b">
        <v>1</v>
      </c>
      <c r="V19" s="23" t="b">
        <v>1</v>
      </c>
      <c r="W19" s="23" t="s">
        <v>50</v>
      </c>
      <c r="X19" s="23" t="s">
        <v>50</v>
      </c>
      <c r="Z19" s="23" t="s">
        <v>50</v>
      </c>
      <c r="AB19" s="66" t="s">
        <v>163</v>
      </c>
      <c r="AC19" s="2" t="s">
        <v>164</v>
      </c>
      <c r="AD19" s="2" t="s">
        <v>59</v>
      </c>
      <c r="AE19" s="2" t="s">
        <v>165</v>
      </c>
      <c r="AF19" s="2" t="s">
        <v>58</v>
      </c>
      <c r="AG19" s="2" t="s">
        <v>55</v>
      </c>
      <c r="AH19" s="2" t="s">
        <v>56</v>
      </c>
      <c r="AI19" s="2" t="s">
        <v>86</v>
      </c>
      <c r="AJ19" s="2" t="s">
        <v>57</v>
      </c>
      <c r="AK19" s="56"/>
      <c r="AL19" s="56"/>
      <c r="AM19" s="56"/>
      <c r="AN19" s="56"/>
      <c r="AO19" s="56"/>
      <c r="AP19" s="2"/>
      <c r="AQ19" s="44" t="s">
        <v>166</v>
      </c>
      <c r="AR19" t="s">
        <v>167</v>
      </c>
      <c r="AT19" s="46">
        <v>6295.36</v>
      </c>
      <c r="AU19" s="46">
        <v>17431.36</v>
      </c>
    </row>
    <row r="20" spans="1:47" ht="14.25" customHeight="1">
      <c r="A20" s="27" t="s">
        <v>62</v>
      </c>
      <c r="B20" s="87" t="s">
        <v>168</v>
      </c>
      <c r="C20" s="97" t="s">
        <v>49</v>
      </c>
      <c r="D20" s="11"/>
      <c r="E20" s="11"/>
      <c r="F20" s="11"/>
      <c r="G20" s="11" t="b">
        <v>1</v>
      </c>
      <c r="H20" s="11"/>
      <c r="I20" s="11"/>
      <c r="J20" s="11"/>
      <c r="K20" s="11"/>
      <c r="L20" s="11"/>
      <c r="M20" s="239">
        <v>1399</v>
      </c>
      <c r="Q20" s="187"/>
      <c r="R20" s="8"/>
      <c r="S20" s="23" t="s">
        <v>50</v>
      </c>
      <c r="T20" s="23" t="s">
        <v>50</v>
      </c>
      <c r="U20" s="23" t="s">
        <v>50</v>
      </c>
      <c r="V20" s="23" t="s">
        <v>50</v>
      </c>
      <c r="W20" s="23" t="b">
        <v>1</v>
      </c>
      <c r="X20" s="23" t="s">
        <v>50</v>
      </c>
      <c r="Z20" s="23" t="s">
        <v>50</v>
      </c>
      <c r="AB20" s="66" t="s">
        <v>169</v>
      </c>
      <c r="AC20" s="2" t="s">
        <v>66</v>
      </c>
      <c r="AD20" s="2"/>
      <c r="AE20" s="2"/>
      <c r="AF20" s="2"/>
      <c r="AG20" s="2"/>
      <c r="AH20" s="2"/>
      <c r="AI20" s="2"/>
      <c r="AJ20" s="2"/>
      <c r="AK20" s="2"/>
      <c r="AL20" s="2"/>
      <c r="AM20" s="2"/>
      <c r="AN20" s="2"/>
      <c r="AO20" s="2"/>
      <c r="AP20" s="2"/>
      <c r="AQ20" s="20" t="s">
        <v>170</v>
      </c>
      <c r="AR20" t="s">
        <v>171</v>
      </c>
      <c r="AT20" s="46">
        <v>1399</v>
      </c>
      <c r="AU20" s="46">
        <v>1399</v>
      </c>
    </row>
    <row r="21" spans="1:47" ht="14.25" customHeight="1">
      <c r="A21" s="27" t="s">
        <v>62</v>
      </c>
      <c r="B21" s="89" t="s">
        <v>172</v>
      </c>
      <c r="C21" s="97" t="s">
        <v>70</v>
      </c>
      <c r="D21" s="11"/>
      <c r="E21" s="11"/>
      <c r="F21" s="11"/>
      <c r="G21" s="11"/>
      <c r="H21" s="11"/>
      <c r="I21" s="11"/>
      <c r="J21" s="11"/>
      <c r="K21" s="11" t="b">
        <v>1</v>
      </c>
      <c r="L21" s="11"/>
      <c r="M21" s="16"/>
      <c r="N21" s="39"/>
      <c r="Q21" s="187"/>
      <c r="R21" s="8"/>
      <c r="S21" s="23" t="s">
        <v>50</v>
      </c>
      <c r="T21" s="23" t="s">
        <v>50</v>
      </c>
      <c r="U21" s="23" t="s">
        <v>50</v>
      </c>
      <c r="V21" s="23" t="s">
        <v>50</v>
      </c>
      <c r="W21" s="23" t="b">
        <v>1</v>
      </c>
      <c r="X21" s="23" t="s">
        <v>50</v>
      </c>
      <c r="Z21" s="23" t="s">
        <v>50</v>
      </c>
      <c r="AB21" s="66"/>
      <c r="AC21" s="2" t="s">
        <v>66</v>
      </c>
      <c r="AD21" s="2"/>
      <c r="AE21" s="2"/>
      <c r="AF21" s="2"/>
      <c r="AG21" s="2"/>
      <c r="AH21" s="2"/>
      <c r="AI21" s="2"/>
      <c r="AJ21" s="2"/>
      <c r="AK21" s="2"/>
      <c r="AL21" s="2"/>
      <c r="AM21" s="2"/>
      <c r="AN21" s="2"/>
      <c r="AO21" s="2"/>
      <c r="AP21" s="2"/>
      <c r="AQ21" s="19" t="s">
        <v>173</v>
      </c>
      <c r="AR21" t="s">
        <v>143</v>
      </c>
      <c r="AT21" s="46"/>
      <c r="AU21" s="46"/>
    </row>
    <row r="22" spans="1:47" ht="14.25" customHeight="1">
      <c r="A22" s="105" t="s">
        <v>174</v>
      </c>
      <c r="B22" s="106" t="s">
        <v>175</v>
      </c>
      <c r="C22" s="107" t="s">
        <v>70</v>
      </c>
      <c r="D22" s="11"/>
      <c r="E22" s="11"/>
      <c r="F22" s="11"/>
      <c r="G22" s="11" t="b">
        <v>1</v>
      </c>
      <c r="H22" s="11"/>
      <c r="I22" s="11"/>
      <c r="J22" s="11"/>
      <c r="K22" s="11" t="b">
        <v>1</v>
      </c>
      <c r="L22" s="11"/>
      <c r="M22" s="16"/>
      <c r="N22" s="38">
        <v>5092</v>
      </c>
      <c r="Q22" s="187">
        <v>15.120100000000001</v>
      </c>
      <c r="R22" s="8"/>
      <c r="S22" s="23" t="b">
        <v>1</v>
      </c>
      <c r="T22" s="23" t="s">
        <v>50</v>
      </c>
      <c r="U22" s="23" t="b">
        <v>1</v>
      </c>
      <c r="V22" s="23" t="b">
        <v>1</v>
      </c>
      <c r="W22" s="23" t="s">
        <v>50</v>
      </c>
      <c r="X22" s="23" t="s">
        <v>50</v>
      </c>
      <c r="Z22" s="23" t="s">
        <v>50</v>
      </c>
      <c r="AB22" s="66"/>
      <c r="AC22" s="2" t="s">
        <v>77</v>
      </c>
      <c r="AD22" s="2" t="s">
        <v>85</v>
      </c>
      <c r="AE22" s="2"/>
      <c r="AF22" s="2"/>
      <c r="AG22" s="2"/>
      <c r="AH22" s="2"/>
      <c r="AI22" s="2"/>
      <c r="AJ22" s="2"/>
      <c r="AK22" s="2"/>
      <c r="AL22" s="2"/>
      <c r="AM22" s="2"/>
      <c r="AN22" s="2"/>
      <c r="AO22" s="2"/>
      <c r="AP22" s="2"/>
      <c r="AQ22" s="44" t="s">
        <v>176</v>
      </c>
      <c r="AR22" t="s">
        <v>177</v>
      </c>
      <c r="AT22" s="46">
        <v>6459.62</v>
      </c>
      <c r="AU22" s="46">
        <v>18363.62</v>
      </c>
    </row>
    <row r="23" spans="1:47" ht="14.25" customHeight="1">
      <c r="A23" s="27" t="s">
        <v>62</v>
      </c>
      <c r="B23" s="87" t="s">
        <v>178</v>
      </c>
      <c r="C23" s="97" t="s">
        <v>49</v>
      </c>
      <c r="D23" s="11"/>
      <c r="E23" s="11"/>
      <c r="F23" s="11" t="b">
        <v>1</v>
      </c>
      <c r="G23" s="11"/>
      <c r="H23" s="11" t="b">
        <v>1</v>
      </c>
      <c r="I23" s="11"/>
      <c r="J23" s="11"/>
      <c r="K23" s="11"/>
      <c r="L23" s="11"/>
      <c r="M23" s="83">
        <v>50</v>
      </c>
      <c r="Q23" s="187"/>
      <c r="R23" s="8"/>
      <c r="S23" s="23" t="s">
        <v>50</v>
      </c>
      <c r="T23" s="23" t="s">
        <v>50</v>
      </c>
      <c r="U23" s="23" t="s">
        <v>50</v>
      </c>
      <c r="V23" s="23" t="s">
        <v>50</v>
      </c>
      <c r="W23" s="23" t="b">
        <v>1</v>
      </c>
      <c r="X23" s="23" t="s">
        <v>50</v>
      </c>
      <c r="Z23" s="23" t="s">
        <v>50</v>
      </c>
      <c r="AB23" s="66" t="s">
        <v>179</v>
      </c>
      <c r="AC23" s="2" t="s">
        <v>66</v>
      </c>
      <c r="AD23" s="2"/>
      <c r="AE23" s="2"/>
      <c r="AF23" s="2"/>
      <c r="AG23" s="2"/>
      <c r="AH23" s="2"/>
      <c r="AI23" s="2"/>
      <c r="AJ23" s="2"/>
      <c r="AK23" s="2"/>
      <c r="AL23" s="2"/>
      <c r="AM23" s="2"/>
      <c r="AN23" s="2"/>
      <c r="AO23" s="2"/>
      <c r="AP23" s="2"/>
      <c r="AQ23" s="20" t="s">
        <v>180</v>
      </c>
      <c r="AR23" t="s">
        <v>181</v>
      </c>
      <c r="AT23" s="46">
        <v>50</v>
      </c>
      <c r="AU23" s="46">
        <v>50</v>
      </c>
    </row>
    <row r="24" spans="1:47" ht="14.25" customHeight="1">
      <c r="A24" s="27"/>
      <c r="B24" s="87" t="s">
        <v>182</v>
      </c>
      <c r="C24" s="97" t="s">
        <v>70</v>
      </c>
      <c r="D24" s="11"/>
      <c r="E24" s="11"/>
      <c r="F24" s="11"/>
      <c r="G24" s="11"/>
      <c r="H24" s="11"/>
      <c r="I24" s="11"/>
      <c r="J24" s="11" t="b">
        <v>1</v>
      </c>
      <c r="K24" s="11"/>
      <c r="L24" s="11" t="b">
        <v>1</v>
      </c>
      <c r="M24" s="83"/>
      <c r="Q24" s="187"/>
      <c r="R24" s="8"/>
      <c r="W24" s="23" t="b">
        <v>1</v>
      </c>
      <c r="AB24" s="66"/>
      <c r="AC24" s="2"/>
      <c r="AD24" s="2"/>
      <c r="AE24" s="2"/>
      <c r="AF24" s="2"/>
      <c r="AG24" s="2"/>
      <c r="AH24" s="2"/>
      <c r="AI24" s="2"/>
      <c r="AJ24" s="2"/>
      <c r="AK24" s="2"/>
      <c r="AL24" s="2"/>
      <c r="AM24" s="2"/>
      <c r="AN24" s="2"/>
      <c r="AO24" s="2"/>
      <c r="AP24" s="2"/>
      <c r="AQ24" s="20" t="s">
        <v>183</v>
      </c>
      <c r="AR24" t="s">
        <v>184</v>
      </c>
      <c r="AT24" s="46">
        <v>125</v>
      </c>
      <c r="AU24" s="46">
        <v>125</v>
      </c>
    </row>
    <row r="25" spans="1:47" ht="14.25" customHeight="1">
      <c r="A25" s="27" t="s">
        <v>185</v>
      </c>
      <c r="B25" s="87" t="s">
        <v>186</v>
      </c>
      <c r="C25" s="97" t="s">
        <v>49</v>
      </c>
      <c r="D25" s="11"/>
      <c r="E25" s="11"/>
      <c r="F25" s="11"/>
      <c r="G25" s="11"/>
      <c r="H25" s="11"/>
      <c r="I25" s="11"/>
      <c r="J25" s="11" t="b">
        <v>1</v>
      </c>
      <c r="K25" s="11"/>
      <c r="L25" s="11"/>
      <c r="M25" s="16"/>
      <c r="N25" s="38">
        <v>5016</v>
      </c>
      <c r="Q25" s="187">
        <v>43.010399999999997</v>
      </c>
      <c r="R25" s="8" t="b">
        <v>1</v>
      </c>
      <c r="S25" s="23" t="b">
        <v>1</v>
      </c>
      <c r="T25" s="23" t="b">
        <v>1</v>
      </c>
      <c r="U25" s="23" t="b">
        <v>1</v>
      </c>
      <c r="V25" s="23" t="b">
        <v>1</v>
      </c>
      <c r="W25" s="23" t="s">
        <v>50</v>
      </c>
      <c r="X25" s="23" t="s">
        <v>50</v>
      </c>
      <c r="Z25" s="23" t="s">
        <v>50</v>
      </c>
      <c r="AB25" s="66" t="s">
        <v>187</v>
      </c>
      <c r="AC25" s="2" t="s">
        <v>53</v>
      </c>
      <c r="AD25" s="2" t="s">
        <v>188</v>
      </c>
      <c r="AE25" s="2" t="s">
        <v>189</v>
      </c>
      <c r="AF25" s="2" t="s">
        <v>56</v>
      </c>
      <c r="AG25" s="2" t="s">
        <v>86</v>
      </c>
      <c r="AH25" s="2" t="s">
        <v>190</v>
      </c>
      <c r="AI25" s="2" t="s">
        <v>191</v>
      </c>
      <c r="AJ25" s="2" t="s">
        <v>192</v>
      </c>
      <c r="AK25" s="2" t="s">
        <v>100</v>
      </c>
      <c r="AL25" s="2"/>
      <c r="AM25" s="2"/>
      <c r="AN25" s="2"/>
      <c r="AO25" s="2"/>
      <c r="AP25" s="2"/>
      <c r="AQ25" s="44" t="s">
        <v>193</v>
      </c>
      <c r="AR25" t="s">
        <v>194</v>
      </c>
      <c r="AT25" s="46">
        <v>7331.45</v>
      </c>
      <c r="AU25" s="46">
        <v>19427.45</v>
      </c>
    </row>
    <row r="26" spans="1:47" ht="14.25" customHeight="1">
      <c r="A26" s="27" t="s">
        <v>62</v>
      </c>
      <c r="B26" s="87" t="s">
        <v>195</v>
      </c>
      <c r="C26" s="97" t="s">
        <v>70</v>
      </c>
      <c r="D26" s="11"/>
      <c r="E26" s="11"/>
      <c r="F26" s="11"/>
      <c r="G26" s="11"/>
      <c r="H26" s="11" t="b">
        <v>1</v>
      </c>
      <c r="I26" s="11"/>
      <c r="J26" s="11" t="b">
        <v>1</v>
      </c>
      <c r="K26" s="11"/>
      <c r="L26" s="11"/>
      <c r="M26" s="200" t="s">
        <v>196</v>
      </c>
      <c r="N26" s="39"/>
      <c r="Q26" s="187"/>
      <c r="R26" s="8"/>
      <c r="S26" s="23" t="s">
        <v>50</v>
      </c>
      <c r="T26" s="23" t="s">
        <v>50</v>
      </c>
      <c r="U26" s="23" t="s">
        <v>50</v>
      </c>
      <c r="V26" s="23" t="s">
        <v>50</v>
      </c>
      <c r="W26" s="23" t="b">
        <v>1</v>
      </c>
      <c r="X26" s="23" t="s">
        <v>50</v>
      </c>
      <c r="Z26" s="23" t="s">
        <v>50</v>
      </c>
      <c r="AB26" s="66" t="s">
        <v>197</v>
      </c>
      <c r="AC26" s="2" t="s">
        <v>66</v>
      </c>
      <c r="AD26" s="2"/>
      <c r="AE26" s="2"/>
      <c r="AF26" s="2"/>
      <c r="AG26" s="2"/>
      <c r="AH26" s="2"/>
      <c r="AI26" s="2"/>
      <c r="AJ26" s="2"/>
      <c r="AK26" s="2"/>
      <c r="AL26" s="2"/>
      <c r="AM26" s="2"/>
      <c r="AN26" s="2"/>
      <c r="AO26" s="2"/>
      <c r="AP26" s="2"/>
      <c r="AQ26" s="20" t="s">
        <v>198</v>
      </c>
      <c r="AR26" t="s">
        <v>199</v>
      </c>
      <c r="AT26" s="46"/>
      <c r="AU26" s="46"/>
    </row>
    <row r="27" spans="1:47" ht="14.25" customHeight="1">
      <c r="A27" s="27" t="s">
        <v>200</v>
      </c>
      <c r="B27" s="87" t="s">
        <v>201</v>
      </c>
      <c r="C27" s="97" t="s">
        <v>49</v>
      </c>
      <c r="D27" s="11" t="b">
        <v>1</v>
      </c>
      <c r="E27" s="11"/>
      <c r="F27" s="11"/>
      <c r="G27" s="11"/>
      <c r="H27" s="11"/>
      <c r="I27" s="11"/>
      <c r="J27" s="11" t="b">
        <v>1</v>
      </c>
      <c r="K27" s="11" t="b">
        <v>1</v>
      </c>
      <c r="L27" s="11"/>
      <c r="M27" s="200" t="s">
        <v>140</v>
      </c>
      <c r="N27" s="39"/>
      <c r="Q27" s="187">
        <v>11.010300000000001</v>
      </c>
      <c r="R27" s="8" t="b">
        <v>1</v>
      </c>
      <c r="S27" s="23" t="b">
        <v>1</v>
      </c>
      <c r="T27" s="23" t="b">
        <v>1</v>
      </c>
      <c r="U27" s="23" t="b">
        <v>1</v>
      </c>
      <c r="W27" s="23" t="b">
        <v>1</v>
      </c>
      <c r="AB27" s="66" t="s">
        <v>202</v>
      </c>
      <c r="AC27" s="2" t="s">
        <v>116</v>
      </c>
      <c r="AD27" s="2" t="s">
        <v>85</v>
      </c>
      <c r="AE27" s="2" t="s">
        <v>99</v>
      </c>
      <c r="AF27" s="2" t="s">
        <v>57</v>
      </c>
      <c r="AG27" s="2"/>
      <c r="AH27" s="2"/>
      <c r="AI27" s="2"/>
      <c r="AJ27" s="2"/>
      <c r="AK27" s="2"/>
      <c r="AL27" s="2"/>
      <c r="AM27" s="2"/>
      <c r="AN27" s="2"/>
      <c r="AO27" s="2"/>
      <c r="AP27" s="2"/>
      <c r="AQ27" s="44" t="s">
        <v>203</v>
      </c>
      <c r="AR27" t="s">
        <v>204</v>
      </c>
      <c r="AT27" s="46">
        <v>6200.36</v>
      </c>
      <c r="AU27" s="46">
        <v>18488.36</v>
      </c>
    </row>
    <row r="28" spans="1:47" ht="14.25" customHeight="1">
      <c r="A28" s="27"/>
      <c r="B28" s="87" t="s">
        <v>205</v>
      </c>
      <c r="C28" s="97" t="s">
        <v>49</v>
      </c>
      <c r="D28" s="11"/>
      <c r="E28" s="11"/>
      <c r="F28" s="11"/>
      <c r="G28" s="11"/>
      <c r="H28" s="11"/>
      <c r="I28" s="11"/>
      <c r="J28" s="11"/>
      <c r="K28" s="11"/>
      <c r="L28" s="11"/>
      <c r="M28" s="16" t="s">
        <v>206</v>
      </c>
      <c r="N28" s="39"/>
      <c r="Q28" s="187">
        <v>43.070700000000002</v>
      </c>
      <c r="R28" s="8"/>
      <c r="W28" s="23" t="b">
        <v>1</v>
      </c>
      <c r="AB28" s="66" t="s">
        <v>207</v>
      </c>
      <c r="AC28" s="2"/>
      <c r="AD28" s="2"/>
      <c r="AE28" s="2"/>
      <c r="AF28" s="2"/>
      <c r="AG28" s="2"/>
      <c r="AH28" s="2"/>
      <c r="AI28" s="2"/>
      <c r="AJ28" s="2"/>
      <c r="AK28" s="2"/>
      <c r="AL28" s="2"/>
      <c r="AM28" s="2"/>
      <c r="AN28" s="2"/>
      <c r="AO28" s="2"/>
      <c r="AP28" s="2"/>
      <c r="AQ28" s="20" t="s">
        <v>208</v>
      </c>
      <c r="AR28" t="s">
        <v>209</v>
      </c>
      <c r="AT28" s="46"/>
      <c r="AU28" s="46"/>
    </row>
    <row r="29" spans="1:47" ht="14.25" customHeight="1">
      <c r="A29" s="27" t="s">
        <v>62</v>
      </c>
      <c r="B29" s="92" t="s">
        <v>210</v>
      </c>
      <c r="C29" s="97" t="s">
        <v>70</v>
      </c>
      <c r="D29" s="11"/>
      <c r="E29" s="11"/>
      <c r="F29" s="11"/>
      <c r="G29" s="11"/>
      <c r="H29" s="11"/>
      <c r="I29" s="11"/>
      <c r="J29" s="11"/>
      <c r="K29" s="11"/>
      <c r="L29" s="11" t="b">
        <v>1</v>
      </c>
      <c r="M29" s="83">
        <v>70</v>
      </c>
      <c r="P29" s="5" t="s">
        <v>211</v>
      </c>
      <c r="Q29" s="187"/>
      <c r="R29" s="8"/>
      <c r="S29" s="23" t="s">
        <v>50</v>
      </c>
      <c r="T29" s="23" t="s">
        <v>50</v>
      </c>
      <c r="U29" s="23" t="s">
        <v>50</v>
      </c>
      <c r="V29" s="23" t="s">
        <v>50</v>
      </c>
      <c r="W29" s="23" t="s">
        <v>50</v>
      </c>
      <c r="X29" s="23" t="s">
        <v>50</v>
      </c>
      <c r="Z29" s="23" t="s">
        <v>50</v>
      </c>
      <c r="AB29" s="66"/>
      <c r="AC29" s="2" t="s">
        <v>66</v>
      </c>
      <c r="AD29" s="2"/>
      <c r="AE29" s="2"/>
      <c r="AF29" s="2"/>
      <c r="AG29" s="2"/>
      <c r="AH29" s="2"/>
      <c r="AI29" s="2"/>
      <c r="AJ29" s="2"/>
      <c r="AK29" s="2"/>
      <c r="AL29" s="2"/>
      <c r="AM29" s="2"/>
      <c r="AN29" s="2"/>
      <c r="AO29" s="2"/>
      <c r="AP29" s="2"/>
      <c r="AQ29" s="20" t="s">
        <v>212</v>
      </c>
      <c r="AR29" t="s">
        <v>213</v>
      </c>
      <c r="AT29" s="46"/>
      <c r="AU29" s="46"/>
    </row>
    <row r="30" spans="1:47" ht="14.25" customHeight="1">
      <c r="A30" s="27" t="s">
        <v>62</v>
      </c>
      <c r="B30" s="89" t="s">
        <v>214</v>
      </c>
      <c r="C30" s="97" t="s">
        <v>70</v>
      </c>
      <c r="D30" s="11"/>
      <c r="E30" s="11"/>
      <c r="F30" s="11"/>
      <c r="G30" s="11"/>
      <c r="H30" s="11" t="b">
        <v>1</v>
      </c>
      <c r="I30" s="11"/>
      <c r="J30" s="11"/>
      <c r="K30" s="11"/>
      <c r="L30" s="11" t="b">
        <v>1</v>
      </c>
      <c r="M30" s="16"/>
      <c r="Q30" s="187"/>
      <c r="R30" s="8" t="b">
        <v>1</v>
      </c>
      <c r="S30" s="23" t="s">
        <v>50</v>
      </c>
      <c r="T30" s="23" t="s">
        <v>50</v>
      </c>
      <c r="U30" s="23" t="s">
        <v>50</v>
      </c>
      <c r="V30" s="23" t="s">
        <v>50</v>
      </c>
      <c r="W30" s="23" t="s">
        <v>50</v>
      </c>
      <c r="X30" s="23" t="s">
        <v>50</v>
      </c>
      <c r="Z30" s="23" t="s">
        <v>50</v>
      </c>
      <c r="AB30" s="66"/>
      <c r="AC30" s="2" t="s">
        <v>66</v>
      </c>
      <c r="AD30" s="2"/>
      <c r="AE30" s="2"/>
      <c r="AF30" s="2"/>
      <c r="AG30" s="2"/>
      <c r="AH30" s="2"/>
      <c r="AI30" s="2"/>
      <c r="AJ30" s="2"/>
      <c r="AK30" s="2"/>
      <c r="AL30" s="2"/>
      <c r="AM30" s="2"/>
      <c r="AN30" s="2"/>
      <c r="AO30" s="2"/>
      <c r="AP30" s="2"/>
      <c r="AQ30" s="19"/>
      <c r="AR30" t="s">
        <v>215</v>
      </c>
      <c r="AT30" s="46"/>
      <c r="AU30" s="46"/>
    </row>
    <row r="31" spans="1:47" ht="14.25" customHeight="1">
      <c r="A31" s="27" t="s">
        <v>216</v>
      </c>
      <c r="B31" s="87" t="s">
        <v>217</v>
      </c>
      <c r="C31" s="97" t="s">
        <v>49</v>
      </c>
      <c r="D31" s="11"/>
      <c r="E31" s="11"/>
      <c r="F31" s="11"/>
      <c r="G31" s="11"/>
      <c r="H31" s="11"/>
      <c r="I31" s="11"/>
      <c r="J31" s="11" t="b">
        <v>1</v>
      </c>
      <c r="K31" s="11"/>
      <c r="L31" s="11"/>
      <c r="M31" s="83"/>
      <c r="N31" s="38">
        <v>1216</v>
      </c>
      <c r="Q31" s="187">
        <v>13.040100000000001</v>
      </c>
      <c r="R31" s="8" t="b">
        <v>1</v>
      </c>
      <c r="S31" s="23" t="s">
        <v>50</v>
      </c>
      <c r="T31" s="23" t="s">
        <v>50</v>
      </c>
      <c r="U31" s="23" t="b">
        <v>1</v>
      </c>
      <c r="V31" s="23" t="s">
        <v>50</v>
      </c>
      <c r="W31" s="23" t="s">
        <v>50</v>
      </c>
      <c r="X31" s="23" t="s">
        <v>50</v>
      </c>
      <c r="Z31" s="23" t="s">
        <v>50</v>
      </c>
      <c r="AB31" s="66" t="s">
        <v>218</v>
      </c>
      <c r="AC31" s="2" t="s">
        <v>219</v>
      </c>
      <c r="AD31" s="2"/>
      <c r="AE31" s="2"/>
      <c r="AF31" s="2"/>
      <c r="AG31" s="2"/>
      <c r="AH31" s="2"/>
      <c r="AI31" s="2"/>
      <c r="AJ31" s="2"/>
      <c r="AK31" s="2"/>
      <c r="AL31" s="2"/>
      <c r="AM31" s="2"/>
      <c r="AN31" s="2"/>
      <c r="AO31" s="2"/>
      <c r="AP31" s="2"/>
      <c r="AQ31" s="44" t="s">
        <v>220</v>
      </c>
      <c r="AR31" t="s">
        <v>221</v>
      </c>
      <c r="AT31" s="46"/>
      <c r="AU31" s="46"/>
    </row>
    <row r="32" spans="1:47" ht="14.25" customHeight="1">
      <c r="A32" s="27" t="s">
        <v>222</v>
      </c>
      <c r="B32" s="87" t="s">
        <v>223</v>
      </c>
      <c r="C32" s="97" t="s">
        <v>49</v>
      </c>
      <c r="D32" s="11"/>
      <c r="E32" s="11"/>
      <c r="F32" s="11"/>
      <c r="G32" s="11"/>
      <c r="H32" s="11"/>
      <c r="I32" s="11"/>
      <c r="J32" s="11" t="b">
        <v>1</v>
      </c>
      <c r="K32" s="11"/>
      <c r="L32" s="11"/>
      <c r="M32" s="16"/>
      <c r="N32" s="38">
        <v>4940</v>
      </c>
      <c r="Q32" s="187">
        <v>13.121</v>
      </c>
      <c r="R32" s="8" t="b">
        <v>1</v>
      </c>
      <c r="S32" s="23" t="b">
        <v>1</v>
      </c>
      <c r="T32" s="23" t="b">
        <v>1</v>
      </c>
      <c r="U32" s="23" t="b">
        <v>1</v>
      </c>
      <c r="V32" s="23" t="b">
        <v>1</v>
      </c>
      <c r="W32" s="23" t="s">
        <v>50</v>
      </c>
      <c r="X32" s="23" t="s">
        <v>50</v>
      </c>
      <c r="Z32" s="23" t="s">
        <v>50</v>
      </c>
      <c r="AB32" s="66" t="s">
        <v>224</v>
      </c>
      <c r="AC32" s="2" t="s">
        <v>86</v>
      </c>
      <c r="AD32" s="2" t="s">
        <v>97</v>
      </c>
      <c r="AE32" s="56"/>
      <c r="AF32" s="56"/>
      <c r="AG32" s="56"/>
      <c r="AH32" s="56"/>
      <c r="AI32" s="2"/>
      <c r="AJ32" s="2"/>
      <c r="AK32" s="2"/>
      <c r="AL32" s="2"/>
      <c r="AM32" s="2"/>
      <c r="AN32" s="2"/>
      <c r="AO32" s="2"/>
      <c r="AP32" s="2"/>
      <c r="AQ32" s="44" t="s">
        <v>225</v>
      </c>
      <c r="AR32" t="s">
        <v>226</v>
      </c>
      <c r="AT32" s="46">
        <v>6192.41</v>
      </c>
      <c r="AU32" s="46">
        <v>17712.41</v>
      </c>
    </row>
    <row r="33" spans="1:47" ht="14.25" customHeight="1">
      <c r="A33" s="27" t="s">
        <v>227</v>
      </c>
      <c r="B33" s="87" t="s">
        <v>228</v>
      </c>
      <c r="C33" s="97" t="s">
        <v>49</v>
      </c>
      <c r="D33" s="11"/>
      <c r="E33" s="11"/>
      <c r="F33" s="11"/>
      <c r="G33" s="11"/>
      <c r="H33" s="11"/>
      <c r="I33" s="11"/>
      <c r="J33" s="11" t="b">
        <v>1</v>
      </c>
      <c r="K33" s="11"/>
      <c r="L33" s="11"/>
      <c r="M33" s="16"/>
      <c r="N33" s="38">
        <v>1216</v>
      </c>
      <c r="O33" s="6">
        <v>1216</v>
      </c>
      <c r="Q33" s="187">
        <v>13.120900000000001</v>
      </c>
      <c r="R33" s="8" t="b">
        <v>1</v>
      </c>
      <c r="S33" s="23" t="s">
        <v>50</v>
      </c>
      <c r="T33" s="23" t="s">
        <v>50</v>
      </c>
      <c r="U33" s="23" t="b">
        <v>1</v>
      </c>
      <c r="V33" s="23" t="s">
        <v>50</v>
      </c>
      <c r="W33" s="23" t="s">
        <v>50</v>
      </c>
      <c r="X33" s="23" t="s">
        <v>50</v>
      </c>
      <c r="Z33" s="23" t="s">
        <v>50</v>
      </c>
      <c r="AB33" s="66" t="s">
        <v>229</v>
      </c>
      <c r="AC33" s="2" t="s">
        <v>219</v>
      </c>
      <c r="AD33" s="2"/>
      <c r="AE33" s="2"/>
      <c r="AF33" s="2"/>
      <c r="AG33" s="2"/>
      <c r="AH33" s="2"/>
      <c r="AI33" s="2"/>
      <c r="AJ33" s="2"/>
      <c r="AK33" s="2"/>
      <c r="AL33" s="2"/>
      <c r="AM33" s="2"/>
      <c r="AN33" s="2"/>
      <c r="AO33" s="2"/>
      <c r="AP33" s="2"/>
      <c r="AQ33" s="44" t="s">
        <v>230</v>
      </c>
      <c r="AR33" t="s">
        <v>231</v>
      </c>
      <c r="AT33" s="46"/>
      <c r="AU33" s="46"/>
    </row>
    <row r="34" spans="1:47" ht="14.25" customHeight="1">
      <c r="A34" s="27"/>
      <c r="B34" s="87" t="s">
        <v>232</v>
      </c>
      <c r="C34" s="97" t="s">
        <v>49</v>
      </c>
      <c r="D34" s="11"/>
      <c r="E34" s="11"/>
      <c r="F34" s="11"/>
      <c r="G34" s="11"/>
      <c r="H34" s="11"/>
      <c r="I34" s="11"/>
      <c r="J34" s="11" t="b">
        <v>1</v>
      </c>
      <c r="K34" s="11"/>
      <c r="L34" s="11"/>
      <c r="M34" s="239">
        <v>70</v>
      </c>
      <c r="O34" s="6"/>
      <c r="Q34" s="187">
        <v>13.129899999999999</v>
      </c>
      <c r="R34" s="8" t="b">
        <v>1</v>
      </c>
      <c r="W34" s="23" t="b">
        <v>1</v>
      </c>
      <c r="AB34" s="66" t="s">
        <v>233</v>
      </c>
      <c r="AC34" s="2"/>
      <c r="AD34" s="2"/>
      <c r="AE34" s="2"/>
      <c r="AF34" s="2"/>
      <c r="AG34" s="2"/>
      <c r="AH34" s="2"/>
      <c r="AI34" s="2"/>
      <c r="AJ34" s="2"/>
      <c r="AK34" s="2"/>
      <c r="AL34" s="2"/>
      <c r="AM34" s="2"/>
      <c r="AN34" s="2"/>
      <c r="AO34" s="2"/>
      <c r="AP34" s="2"/>
      <c r="AQ34" s="20" t="s">
        <v>234</v>
      </c>
      <c r="AR34" t="s">
        <v>235</v>
      </c>
      <c r="AT34" s="46">
        <v>70</v>
      </c>
      <c r="AU34" s="46">
        <v>70</v>
      </c>
    </row>
    <row r="35" spans="1:47" ht="14.25" customHeight="1">
      <c r="A35" s="27" t="s">
        <v>62</v>
      </c>
      <c r="B35" s="87" t="s">
        <v>236</v>
      </c>
      <c r="C35" s="97" t="s">
        <v>49</v>
      </c>
      <c r="D35" s="11"/>
      <c r="E35" s="11"/>
      <c r="F35" s="11"/>
      <c r="G35" s="11" t="b">
        <v>1</v>
      </c>
      <c r="H35" s="11"/>
      <c r="I35" s="11"/>
      <c r="J35" s="11"/>
      <c r="K35" s="11"/>
      <c r="L35" s="11"/>
      <c r="M35" s="78">
        <v>1250</v>
      </c>
      <c r="Q35" s="187"/>
      <c r="R35" s="8"/>
      <c r="S35" s="23" t="s">
        <v>50</v>
      </c>
      <c r="T35" s="23" t="s">
        <v>50</v>
      </c>
      <c r="U35" s="23" t="s">
        <v>50</v>
      </c>
      <c r="V35" s="23" t="s">
        <v>50</v>
      </c>
      <c r="W35" s="23" t="b">
        <v>1</v>
      </c>
      <c r="X35" s="23" t="s">
        <v>50</v>
      </c>
      <c r="Z35" s="23" t="s">
        <v>50</v>
      </c>
      <c r="AB35" s="66" t="s">
        <v>237</v>
      </c>
      <c r="AC35" s="2" t="s">
        <v>219</v>
      </c>
      <c r="AD35" s="2"/>
      <c r="AE35" s="2"/>
      <c r="AF35" s="2"/>
      <c r="AG35" s="2"/>
      <c r="AH35" s="2"/>
      <c r="AI35" s="2"/>
      <c r="AJ35" s="2"/>
      <c r="AK35" s="2"/>
      <c r="AL35" s="2"/>
      <c r="AM35" s="2"/>
      <c r="AN35" s="2"/>
      <c r="AO35" s="2"/>
      <c r="AP35" s="2"/>
      <c r="AQ35" s="20" t="s">
        <v>238</v>
      </c>
      <c r="AR35" t="s">
        <v>239</v>
      </c>
      <c r="AT35" s="46">
        <v>1250</v>
      </c>
      <c r="AU35" s="46">
        <v>1250</v>
      </c>
    </row>
    <row r="36" spans="1:47" ht="14.25" customHeight="1">
      <c r="A36" s="27" t="s">
        <v>240</v>
      </c>
      <c r="B36" s="87" t="s">
        <v>241</v>
      </c>
      <c r="C36" s="97" t="s">
        <v>49</v>
      </c>
      <c r="D36" s="11"/>
      <c r="E36" s="11"/>
      <c r="F36" s="11"/>
      <c r="G36" s="11" t="b">
        <v>1</v>
      </c>
      <c r="H36" s="11"/>
      <c r="I36" s="11"/>
      <c r="J36" s="11"/>
      <c r="K36" s="11" t="b">
        <v>1</v>
      </c>
      <c r="L36" s="11"/>
      <c r="M36" s="16"/>
      <c r="N36" s="38">
        <f>1531.29+7328.29</f>
        <v>8859.58</v>
      </c>
      <c r="O36" s="6">
        <v>5548</v>
      </c>
      <c r="Q36" s="187">
        <v>46.030099999999997</v>
      </c>
      <c r="R36" s="8"/>
      <c r="S36" s="23" t="b">
        <v>1</v>
      </c>
      <c r="T36" s="23" t="b">
        <v>1</v>
      </c>
      <c r="U36" s="23" t="b">
        <v>1</v>
      </c>
      <c r="V36" s="23" t="b">
        <v>1</v>
      </c>
      <c r="W36" s="23" t="b">
        <v>1</v>
      </c>
      <c r="X36" s="23" t="s">
        <v>50</v>
      </c>
      <c r="Z36" s="23" t="s">
        <v>50</v>
      </c>
      <c r="AB36" s="66" t="s">
        <v>242</v>
      </c>
      <c r="AC36" s="2" t="s">
        <v>77</v>
      </c>
      <c r="AD36" s="2" t="s">
        <v>243</v>
      </c>
      <c r="AE36" s="2" t="s">
        <v>56</v>
      </c>
      <c r="AF36" s="2" t="s">
        <v>116</v>
      </c>
      <c r="AG36" s="2"/>
      <c r="AH36" s="2"/>
      <c r="AI36" s="2"/>
      <c r="AJ36" s="2"/>
      <c r="AK36" s="2"/>
      <c r="AL36" s="2"/>
      <c r="AM36" s="2"/>
      <c r="AN36" s="2"/>
      <c r="AO36" s="2"/>
      <c r="AP36" s="2"/>
      <c r="AQ36" s="44" t="s">
        <v>244</v>
      </c>
      <c r="AR36" t="s">
        <v>245</v>
      </c>
      <c r="AT36" s="46">
        <v>6376.75</v>
      </c>
      <c r="AU36" s="46">
        <v>18664.75</v>
      </c>
    </row>
    <row r="37" spans="1:47" ht="14.25" customHeight="1">
      <c r="A37" s="27" t="s">
        <v>62</v>
      </c>
      <c r="B37" s="87" t="s">
        <v>246</v>
      </c>
      <c r="C37" s="97" t="s">
        <v>49</v>
      </c>
      <c r="D37" s="11"/>
      <c r="E37" s="11"/>
      <c r="F37" s="11"/>
      <c r="G37" s="11" t="b">
        <v>1</v>
      </c>
      <c r="H37" s="11"/>
      <c r="I37" s="11"/>
      <c r="J37" s="11"/>
      <c r="K37" s="11"/>
      <c r="L37" s="11"/>
      <c r="M37" s="83">
        <v>70</v>
      </c>
      <c r="P37" s="6">
        <v>70</v>
      </c>
      <c r="Q37" s="187"/>
      <c r="R37" s="8"/>
      <c r="S37" s="23" t="s">
        <v>50</v>
      </c>
      <c r="T37" s="23" t="s">
        <v>50</v>
      </c>
      <c r="U37" s="23" t="s">
        <v>50</v>
      </c>
      <c r="V37" s="23" t="s">
        <v>50</v>
      </c>
      <c r="W37" s="23" t="s">
        <v>50</v>
      </c>
      <c r="X37" s="23" t="s">
        <v>50</v>
      </c>
      <c r="Z37" s="23" t="b">
        <v>1</v>
      </c>
      <c r="AB37" s="66" t="s">
        <v>247</v>
      </c>
      <c r="AC37" s="2" t="s">
        <v>66</v>
      </c>
      <c r="AD37" s="2"/>
      <c r="AE37" s="2"/>
      <c r="AF37" s="2"/>
      <c r="AG37" s="2"/>
      <c r="AH37" s="2"/>
      <c r="AI37" s="2"/>
      <c r="AJ37" s="2"/>
      <c r="AK37" s="2"/>
      <c r="AL37" s="2"/>
      <c r="AM37" s="2"/>
      <c r="AN37" s="2"/>
      <c r="AO37" s="2"/>
      <c r="AP37" s="2"/>
      <c r="AQ37" s="20" t="s">
        <v>248</v>
      </c>
      <c r="AR37" t="s">
        <v>249</v>
      </c>
      <c r="AT37" s="46">
        <v>70</v>
      </c>
      <c r="AU37" s="46">
        <v>70</v>
      </c>
    </row>
    <row r="38" spans="1:47" ht="14.25" customHeight="1">
      <c r="A38" s="27"/>
      <c r="B38" s="89" t="s">
        <v>250</v>
      </c>
      <c r="C38" s="97" t="s">
        <v>70</v>
      </c>
      <c r="D38" s="11"/>
      <c r="E38" s="11"/>
      <c r="F38" s="11"/>
      <c r="G38" s="11" t="b">
        <v>1</v>
      </c>
      <c r="H38" s="11"/>
      <c r="I38" s="11"/>
      <c r="J38" s="11"/>
      <c r="K38" s="11"/>
      <c r="L38" s="11"/>
      <c r="M38" s="16"/>
      <c r="Q38" s="187"/>
      <c r="R38" s="8"/>
      <c r="S38" s="23" t="b">
        <v>1</v>
      </c>
      <c r="T38" s="23" t="s">
        <v>50</v>
      </c>
      <c r="U38" s="23" t="b">
        <v>1</v>
      </c>
      <c r="V38" s="23" t="s">
        <v>50</v>
      </c>
      <c r="W38" s="23" t="s">
        <v>50</v>
      </c>
      <c r="X38" s="23" t="s">
        <v>50</v>
      </c>
      <c r="Z38" s="23" t="s">
        <v>50</v>
      </c>
      <c r="AB38" s="66"/>
      <c r="AC38" s="2"/>
      <c r="AD38" s="2"/>
      <c r="AE38" s="2"/>
      <c r="AF38" s="2"/>
      <c r="AG38" s="2"/>
      <c r="AH38" s="2"/>
      <c r="AI38" s="2"/>
      <c r="AJ38" s="2"/>
      <c r="AK38" s="2"/>
      <c r="AL38" s="2"/>
      <c r="AM38" s="2"/>
      <c r="AN38" s="2"/>
      <c r="AO38" s="2"/>
      <c r="AP38" s="2"/>
      <c r="AQ38" s="76" t="s">
        <v>251</v>
      </c>
      <c r="AR38" t="s">
        <v>252</v>
      </c>
      <c r="AT38" s="46">
        <v>7242.87</v>
      </c>
      <c r="AU38" s="46">
        <v>20106.87</v>
      </c>
    </row>
    <row r="39" spans="1:47" ht="14.25" customHeight="1">
      <c r="A39" s="93">
        <v>55490</v>
      </c>
      <c r="B39" s="94" t="s">
        <v>253</v>
      </c>
      <c r="C39" s="97" t="s">
        <v>49</v>
      </c>
      <c r="D39" s="48" t="s">
        <v>50</v>
      </c>
      <c r="E39" s="48" t="s">
        <v>50</v>
      </c>
      <c r="F39" s="48" t="s">
        <v>50</v>
      </c>
      <c r="G39" s="48" t="s">
        <v>50</v>
      </c>
      <c r="H39" s="48" t="s">
        <v>50</v>
      </c>
      <c r="I39" s="48" t="s">
        <v>50</v>
      </c>
      <c r="J39" s="48" t="b">
        <v>1</v>
      </c>
      <c r="K39" s="48" t="s">
        <v>50</v>
      </c>
      <c r="L39" s="48" t="s">
        <v>50</v>
      </c>
      <c r="M39" s="84" t="s">
        <v>50</v>
      </c>
      <c r="N39" s="48" t="s">
        <v>50</v>
      </c>
      <c r="O39" s="48" t="s">
        <v>50</v>
      </c>
      <c r="P39" s="48" t="s">
        <v>50</v>
      </c>
      <c r="Q39" s="188">
        <v>13.0101</v>
      </c>
      <c r="R39" s="48" t="b">
        <v>1</v>
      </c>
      <c r="S39" s="48" t="s">
        <v>50</v>
      </c>
      <c r="T39" s="48" t="s">
        <v>50</v>
      </c>
      <c r="U39" s="48" t="b">
        <v>1</v>
      </c>
      <c r="V39" s="48" t="s">
        <v>50</v>
      </c>
      <c r="W39" s="48" t="s">
        <v>50</v>
      </c>
      <c r="X39" s="48" t="s">
        <v>50</v>
      </c>
      <c r="Y39" s="48"/>
      <c r="Z39" s="48" t="s">
        <v>50</v>
      </c>
      <c r="AA39" s="48" t="s">
        <v>50</v>
      </c>
      <c r="AB39" s="67" t="s">
        <v>254</v>
      </c>
      <c r="AC39" s="48" t="s">
        <v>50</v>
      </c>
      <c r="AD39" s="48" t="s">
        <v>50</v>
      </c>
      <c r="AE39" s="48" t="s">
        <v>50</v>
      </c>
      <c r="AF39" s="48" t="s">
        <v>50</v>
      </c>
      <c r="AG39" s="48" t="s">
        <v>50</v>
      </c>
      <c r="AH39" s="48" t="s">
        <v>50</v>
      </c>
      <c r="AI39" s="48" t="s">
        <v>50</v>
      </c>
      <c r="AJ39" s="48" t="s">
        <v>50</v>
      </c>
      <c r="AK39" s="48" t="s">
        <v>50</v>
      </c>
      <c r="AL39" s="48" t="s">
        <v>50</v>
      </c>
      <c r="AM39" s="48" t="s">
        <v>50</v>
      </c>
      <c r="AN39" s="48" t="s">
        <v>50</v>
      </c>
      <c r="AO39" s="48"/>
      <c r="AP39" s="48" t="s">
        <v>50</v>
      </c>
      <c r="AQ39" s="49" t="s">
        <v>255</v>
      </c>
      <c r="AR39" t="s">
        <v>256</v>
      </c>
      <c r="AT39" s="46"/>
      <c r="AU39" s="46"/>
    </row>
    <row r="40" spans="1:47" ht="14.25" customHeight="1">
      <c r="A40" s="27" t="s">
        <v>62</v>
      </c>
      <c r="B40" s="88" t="s">
        <v>257</v>
      </c>
      <c r="C40" s="97" t="s">
        <v>70</v>
      </c>
      <c r="D40" s="11"/>
      <c r="E40" s="11"/>
      <c r="F40" s="11"/>
      <c r="G40" s="11"/>
      <c r="H40" s="11"/>
      <c r="I40" s="11"/>
      <c r="J40" s="11"/>
      <c r="K40" s="11"/>
      <c r="L40" s="11" t="b">
        <v>1</v>
      </c>
      <c r="M40" s="16"/>
      <c r="Q40" s="187"/>
      <c r="R40" s="8" t="b">
        <v>1</v>
      </c>
      <c r="X40" s="23" t="b">
        <v>1</v>
      </c>
      <c r="AB40" s="66" t="s">
        <v>258</v>
      </c>
      <c r="AC40" s="2"/>
      <c r="AD40" s="2"/>
      <c r="AE40" s="2"/>
      <c r="AF40" s="2"/>
      <c r="AG40" s="2"/>
      <c r="AH40" s="2"/>
      <c r="AI40" s="2"/>
      <c r="AJ40" s="2"/>
      <c r="AK40" s="2"/>
      <c r="AL40" s="2"/>
      <c r="AM40" s="2"/>
      <c r="AN40" s="2"/>
      <c r="AO40" s="2"/>
      <c r="AP40" s="2"/>
      <c r="AQ40" s="19" t="s">
        <v>259</v>
      </c>
      <c r="AR40" t="s">
        <v>260</v>
      </c>
      <c r="AT40" s="46">
        <v>125</v>
      </c>
      <c r="AU40" s="46">
        <v>125</v>
      </c>
    </row>
    <row r="41" spans="1:47" ht="14.25" customHeight="1">
      <c r="A41" s="27" t="s">
        <v>62</v>
      </c>
      <c r="B41" s="88" t="s">
        <v>261</v>
      </c>
      <c r="C41" s="97" t="s">
        <v>70</v>
      </c>
      <c r="D41" s="11"/>
      <c r="E41" s="11"/>
      <c r="F41" s="11" t="b">
        <v>1</v>
      </c>
      <c r="G41" s="11"/>
      <c r="H41" s="11"/>
      <c r="I41" s="11"/>
      <c r="J41" s="11"/>
      <c r="K41" s="11"/>
      <c r="L41" s="11"/>
      <c r="M41" s="16" t="s">
        <v>262</v>
      </c>
      <c r="Q41" s="187"/>
      <c r="R41" s="8"/>
      <c r="S41" s="23" t="s">
        <v>50</v>
      </c>
      <c r="T41" s="23" t="s">
        <v>50</v>
      </c>
      <c r="U41" s="23" t="s">
        <v>50</v>
      </c>
      <c r="V41" s="23" t="s">
        <v>50</v>
      </c>
      <c r="W41" s="23" t="b">
        <v>1</v>
      </c>
      <c r="X41" s="23" t="s">
        <v>50</v>
      </c>
      <c r="Z41" s="23" t="s">
        <v>50</v>
      </c>
      <c r="AB41" s="66" t="s">
        <v>263</v>
      </c>
      <c r="AC41" s="2"/>
      <c r="AD41" s="2"/>
      <c r="AE41" s="2"/>
      <c r="AF41" s="2"/>
      <c r="AG41" s="2"/>
      <c r="AH41" s="2"/>
      <c r="AI41" s="2"/>
      <c r="AJ41" s="2"/>
      <c r="AK41" s="2"/>
      <c r="AL41" s="2"/>
      <c r="AM41" s="2"/>
      <c r="AN41" s="2"/>
      <c r="AO41" s="2"/>
      <c r="AP41" s="2"/>
      <c r="AQ41" s="19"/>
      <c r="AR41" t="s">
        <v>264</v>
      </c>
      <c r="AT41" s="46"/>
      <c r="AU41" s="46"/>
    </row>
    <row r="42" spans="1:47" ht="14.25" customHeight="1">
      <c r="A42" s="27" t="s">
        <v>62</v>
      </c>
      <c r="B42" s="87" t="s">
        <v>265</v>
      </c>
      <c r="C42" s="97" t="s">
        <v>70</v>
      </c>
      <c r="D42" s="11"/>
      <c r="E42" s="11"/>
      <c r="F42" s="11" t="b">
        <v>1</v>
      </c>
      <c r="G42" s="11"/>
      <c r="H42" s="11" t="b">
        <v>1</v>
      </c>
      <c r="I42" s="11"/>
      <c r="J42" s="11"/>
      <c r="K42" s="11"/>
      <c r="L42" s="11"/>
      <c r="M42" s="200" t="s">
        <v>140</v>
      </c>
      <c r="Q42" s="187"/>
      <c r="R42" s="8"/>
      <c r="S42" s="23" t="s">
        <v>50</v>
      </c>
      <c r="T42" s="23" t="s">
        <v>50</v>
      </c>
      <c r="U42" s="23" t="s">
        <v>50</v>
      </c>
      <c r="V42" s="23" t="s">
        <v>50</v>
      </c>
      <c r="W42" s="23" t="b">
        <v>1</v>
      </c>
      <c r="X42" s="23" t="s">
        <v>50</v>
      </c>
      <c r="Z42" s="23" t="s">
        <v>50</v>
      </c>
      <c r="AB42" s="66" t="s">
        <v>266</v>
      </c>
      <c r="AC42" s="2" t="s">
        <v>66</v>
      </c>
      <c r="AD42" s="2"/>
      <c r="AE42" s="2"/>
      <c r="AF42" s="2"/>
      <c r="AG42" s="2"/>
      <c r="AH42" s="2"/>
      <c r="AI42" s="2"/>
      <c r="AJ42" s="2"/>
      <c r="AK42" s="2"/>
      <c r="AL42" s="2"/>
      <c r="AM42" s="2"/>
      <c r="AN42" s="2"/>
      <c r="AO42" s="2"/>
      <c r="AP42" s="2"/>
      <c r="AQ42" s="20" t="s">
        <v>267</v>
      </c>
      <c r="AR42" t="s">
        <v>268</v>
      </c>
      <c r="AT42" s="46"/>
      <c r="AU42" s="46"/>
    </row>
    <row r="43" spans="1:47" ht="14.25" customHeight="1">
      <c r="A43" s="27" t="s">
        <v>269</v>
      </c>
      <c r="B43" s="87" t="s">
        <v>270</v>
      </c>
      <c r="C43" s="97" t="s">
        <v>49</v>
      </c>
      <c r="D43" s="11"/>
      <c r="E43" s="11"/>
      <c r="F43" s="11" t="b">
        <v>1</v>
      </c>
      <c r="G43" s="11"/>
      <c r="H43" s="11" t="b">
        <v>1</v>
      </c>
      <c r="I43" s="11"/>
      <c r="J43" s="11"/>
      <c r="K43" s="11"/>
      <c r="L43" s="11"/>
      <c r="M43" s="16"/>
      <c r="N43" s="38">
        <f>1134.95+6931.95</f>
        <v>8066.9</v>
      </c>
      <c r="Q43" s="187">
        <v>51.090400000000002</v>
      </c>
      <c r="R43" s="8"/>
      <c r="S43" s="23" t="b">
        <v>1</v>
      </c>
      <c r="T43" s="23" t="s">
        <v>50</v>
      </c>
      <c r="U43" s="23" t="s">
        <v>50</v>
      </c>
      <c r="V43" s="23" t="s">
        <v>50</v>
      </c>
      <c r="W43" s="23" t="b">
        <v>1</v>
      </c>
      <c r="X43" s="23" t="s">
        <v>50</v>
      </c>
      <c r="Z43" s="23" t="s">
        <v>50</v>
      </c>
      <c r="AB43" s="66" t="s">
        <v>271</v>
      </c>
      <c r="AC43" s="2"/>
      <c r="AD43" s="2"/>
      <c r="AE43" s="2"/>
      <c r="AF43" s="2"/>
      <c r="AG43" s="2"/>
      <c r="AH43" s="2"/>
      <c r="AI43" s="2"/>
      <c r="AJ43" s="2"/>
      <c r="AK43" s="2"/>
      <c r="AL43" s="2"/>
      <c r="AM43" s="2"/>
      <c r="AN43" s="2"/>
      <c r="AO43" s="2"/>
      <c r="AP43" s="2"/>
      <c r="AQ43" s="44" t="s">
        <v>272</v>
      </c>
      <c r="AR43" t="s">
        <v>273</v>
      </c>
      <c r="AT43" s="46">
        <v>6923.5</v>
      </c>
      <c r="AU43" s="46">
        <v>20171.5</v>
      </c>
    </row>
    <row r="44" spans="1:47" ht="14.25" customHeight="1">
      <c r="A44" s="27" t="s">
        <v>62</v>
      </c>
      <c r="B44" s="87" t="s">
        <v>274</v>
      </c>
      <c r="C44" s="97" t="s">
        <v>49</v>
      </c>
      <c r="D44" s="11"/>
      <c r="E44" s="11"/>
      <c r="F44" s="11" t="b">
        <v>1</v>
      </c>
      <c r="G44" s="11"/>
      <c r="H44" s="11" t="b">
        <v>1</v>
      </c>
      <c r="I44" s="11"/>
      <c r="J44" s="11"/>
      <c r="K44" s="11"/>
      <c r="L44" s="11"/>
      <c r="M44" s="239">
        <v>670</v>
      </c>
      <c r="Q44" s="187"/>
      <c r="R44" s="8"/>
      <c r="S44" s="23" t="s">
        <v>50</v>
      </c>
      <c r="T44" s="23" t="s">
        <v>50</v>
      </c>
      <c r="U44" s="23" t="s">
        <v>50</v>
      </c>
      <c r="V44" s="23" t="s">
        <v>50</v>
      </c>
      <c r="W44" s="23" t="b">
        <v>1</v>
      </c>
      <c r="X44" s="23" t="s">
        <v>50</v>
      </c>
      <c r="Z44" s="23" t="s">
        <v>50</v>
      </c>
      <c r="AB44" s="66" t="s">
        <v>275</v>
      </c>
      <c r="AC44" s="2"/>
      <c r="AD44" s="2"/>
      <c r="AE44" s="2"/>
      <c r="AF44" s="2"/>
      <c r="AG44" s="2"/>
      <c r="AH44" s="2"/>
      <c r="AI44" s="2"/>
      <c r="AJ44" s="2"/>
      <c r="AK44" s="2"/>
      <c r="AL44" s="2"/>
      <c r="AM44" s="2"/>
      <c r="AN44" s="2"/>
      <c r="AO44" s="2"/>
      <c r="AP44" s="2"/>
      <c r="AQ44" s="20" t="s">
        <v>276</v>
      </c>
      <c r="AR44" t="s">
        <v>277</v>
      </c>
      <c r="AT44" s="46">
        <v>670</v>
      </c>
      <c r="AU44" s="46">
        <v>670</v>
      </c>
    </row>
    <row r="45" spans="1:47" ht="14.25" customHeight="1">
      <c r="A45" s="27" t="s">
        <v>62</v>
      </c>
      <c r="B45" s="87" t="s">
        <v>278</v>
      </c>
      <c r="C45" s="97" t="s">
        <v>49</v>
      </c>
      <c r="D45" s="11"/>
      <c r="E45" s="11" t="b">
        <v>1</v>
      </c>
      <c r="F45" s="11"/>
      <c r="G45" s="11"/>
      <c r="H45" s="11"/>
      <c r="I45" s="11"/>
      <c r="J45" s="11" t="b">
        <v>1</v>
      </c>
      <c r="K45" s="11"/>
      <c r="L45" s="11" t="b">
        <v>1</v>
      </c>
      <c r="M45" s="16" t="s">
        <v>64</v>
      </c>
      <c r="Q45" s="187"/>
      <c r="R45" s="8"/>
      <c r="S45" s="23" t="s">
        <v>50</v>
      </c>
      <c r="T45" s="23" t="s">
        <v>50</v>
      </c>
      <c r="U45" s="23" t="s">
        <v>50</v>
      </c>
      <c r="V45" s="23" t="s">
        <v>50</v>
      </c>
      <c r="W45" s="23" t="s">
        <v>50</v>
      </c>
      <c r="X45" s="23" t="b">
        <v>1</v>
      </c>
      <c r="Z45" s="23" t="s">
        <v>50</v>
      </c>
      <c r="AB45" s="66" t="s">
        <v>279</v>
      </c>
      <c r="AC45" s="2" t="s">
        <v>66</v>
      </c>
      <c r="AD45" s="2"/>
      <c r="AE45" s="2"/>
      <c r="AF45" s="2"/>
      <c r="AG45" s="2"/>
      <c r="AH45" s="2"/>
      <c r="AI45" s="2"/>
      <c r="AJ45" s="2"/>
      <c r="AK45" s="2"/>
      <c r="AL45" s="2"/>
      <c r="AM45" s="2"/>
      <c r="AN45" s="2"/>
      <c r="AO45" s="2"/>
      <c r="AP45" s="2"/>
      <c r="AQ45" s="20" t="s">
        <v>280</v>
      </c>
      <c r="AR45" t="s">
        <v>281</v>
      </c>
      <c r="AT45" s="46"/>
      <c r="AU45" s="46"/>
    </row>
    <row r="46" spans="1:47" ht="14.25" customHeight="1">
      <c r="A46" s="27" t="s">
        <v>62</v>
      </c>
      <c r="B46" s="87" t="s">
        <v>282</v>
      </c>
      <c r="C46" s="97" t="s">
        <v>70</v>
      </c>
      <c r="D46" s="11"/>
      <c r="E46" s="11"/>
      <c r="F46" s="11" t="b">
        <v>1</v>
      </c>
      <c r="G46" s="11"/>
      <c r="H46" s="11"/>
      <c r="I46" s="11"/>
      <c r="J46" s="11"/>
      <c r="K46" s="11"/>
      <c r="L46" s="11"/>
      <c r="M46" s="16"/>
      <c r="Q46" s="187"/>
      <c r="R46" s="8"/>
      <c r="S46" s="23" t="s">
        <v>50</v>
      </c>
      <c r="T46" s="23" t="s">
        <v>50</v>
      </c>
      <c r="U46" s="23" t="s">
        <v>50</v>
      </c>
      <c r="V46" s="23" t="s">
        <v>50</v>
      </c>
      <c r="W46" s="23" t="s">
        <v>50</v>
      </c>
      <c r="X46" s="23" t="s">
        <v>50</v>
      </c>
      <c r="Z46" s="23" t="b">
        <v>1</v>
      </c>
      <c r="AB46" s="66" t="s">
        <v>283</v>
      </c>
      <c r="AC46" s="2" t="s">
        <v>66</v>
      </c>
      <c r="AD46" s="2"/>
      <c r="AE46" s="2"/>
      <c r="AF46" s="2"/>
      <c r="AG46" s="2"/>
      <c r="AH46" s="2"/>
      <c r="AI46" s="2"/>
      <c r="AJ46" s="2"/>
      <c r="AK46" s="2"/>
      <c r="AL46" s="2"/>
      <c r="AM46" s="2"/>
      <c r="AN46" s="2"/>
      <c r="AO46" s="2"/>
      <c r="AP46" s="2"/>
      <c r="AQ46" s="20" t="s">
        <v>284</v>
      </c>
      <c r="AR46" s="237" t="s">
        <v>285</v>
      </c>
      <c r="AT46" s="46"/>
      <c r="AU46" s="46"/>
    </row>
    <row r="47" spans="1:47" ht="14.25" customHeight="1">
      <c r="A47" s="27" t="s">
        <v>62</v>
      </c>
      <c r="B47" s="87" t="s">
        <v>286</v>
      </c>
      <c r="C47" s="97" t="s">
        <v>49</v>
      </c>
      <c r="D47" s="11"/>
      <c r="E47" s="11"/>
      <c r="F47" s="11"/>
      <c r="G47" s="11" t="b">
        <v>1</v>
      </c>
      <c r="H47" s="11"/>
      <c r="I47" s="11"/>
      <c r="J47" s="11"/>
      <c r="K47" s="11"/>
      <c r="L47" s="11"/>
      <c r="M47" s="200" t="s">
        <v>287</v>
      </c>
      <c r="Q47" s="187"/>
      <c r="R47" s="8"/>
      <c r="S47" s="23" t="s">
        <v>50</v>
      </c>
      <c r="T47" s="23" t="s">
        <v>50</v>
      </c>
      <c r="U47" s="23" t="s">
        <v>50</v>
      </c>
      <c r="V47" s="23" t="s">
        <v>50</v>
      </c>
      <c r="W47" s="23" t="b">
        <v>1</v>
      </c>
      <c r="X47" s="23" t="s">
        <v>50</v>
      </c>
      <c r="Z47" s="23" t="s">
        <v>50</v>
      </c>
      <c r="AB47" s="66" t="s">
        <v>288</v>
      </c>
      <c r="AC47" s="2" t="s">
        <v>66</v>
      </c>
      <c r="AD47" s="2"/>
      <c r="AE47" s="2"/>
      <c r="AF47" s="2"/>
      <c r="AG47" s="2"/>
      <c r="AH47" s="2"/>
      <c r="AI47" s="2"/>
      <c r="AJ47" s="2"/>
      <c r="AK47" s="2"/>
      <c r="AL47" s="2"/>
      <c r="AM47" s="2"/>
      <c r="AN47" s="2"/>
      <c r="AO47" s="2"/>
      <c r="AP47" s="2"/>
      <c r="AQ47" s="20" t="s">
        <v>289</v>
      </c>
      <c r="AR47" t="s">
        <v>290</v>
      </c>
      <c r="AT47" s="46">
        <v>70</v>
      </c>
      <c r="AU47" s="46">
        <v>70</v>
      </c>
    </row>
    <row r="48" spans="1:47" ht="14.25" customHeight="1">
      <c r="A48" s="27" t="s">
        <v>62</v>
      </c>
      <c r="B48" s="87" t="s">
        <v>291</v>
      </c>
      <c r="C48" s="97" t="s">
        <v>49</v>
      </c>
      <c r="D48" s="11"/>
      <c r="E48" s="11"/>
      <c r="F48" s="11"/>
      <c r="G48" s="11" t="b">
        <v>1</v>
      </c>
      <c r="H48" s="11"/>
      <c r="I48" s="11"/>
      <c r="J48" s="11"/>
      <c r="K48" s="11"/>
      <c r="L48" s="11"/>
      <c r="M48" s="83">
        <v>149</v>
      </c>
      <c r="Q48" s="187"/>
      <c r="R48" s="8"/>
      <c r="S48" s="23" t="s">
        <v>50</v>
      </c>
      <c r="T48" s="23" t="s">
        <v>50</v>
      </c>
      <c r="U48" s="23" t="s">
        <v>50</v>
      </c>
      <c r="V48" s="23" t="s">
        <v>50</v>
      </c>
      <c r="W48" s="23" t="s">
        <v>50</v>
      </c>
      <c r="X48" s="23" t="s">
        <v>50</v>
      </c>
      <c r="Z48" s="23" t="b">
        <v>1</v>
      </c>
      <c r="AB48" s="66" t="s">
        <v>292</v>
      </c>
      <c r="AC48" s="2" t="s">
        <v>66</v>
      </c>
      <c r="AD48" s="2"/>
      <c r="AE48" s="2"/>
      <c r="AF48" s="2"/>
      <c r="AG48" s="2"/>
      <c r="AH48" s="2"/>
      <c r="AI48" s="2"/>
      <c r="AJ48" s="2"/>
      <c r="AK48" s="2"/>
      <c r="AL48" s="2"/>
      <c r="AM48" s="2"/>
      <c r="AN48" s="2"/>
      <c r="AO48" s="2"/>
      <c r="AP48" s="2"/>
      <c r="AQ48" s="20" t="s">
        <v>293</v>
      </c>
      <c r="AR48" t="s">
        <v>294</v>
      </c>
      <c r="AT48" s="46">
        <v>149</v>
      </c>
      <c r="AU48" s="46">
        <v>149</v>
      </c>
    </row>
    <row r="49" spans="1:47" ht="14.25" customHeight="1">
      <c r="A49" s="95" t="s">
        <v>295</v>
      </c>
      <c r="B49" s="87" t="s">
        <v>296</v>
      </c>
      <c r="C49" s="97" t="s">
        <v>49</v>
      </c>
      <c r="D49" s="11" t="b">
        <v>1</v>
      </c>
      <c r="E49" s="11"/>
      <c r="F49" s="11"/>
      <c r="G49" s="11"/>
      <c r="H49" s="11" t="b">
        <v>1</v>
      </c>
      <c r="I49" s="11"/>
      <c r="J49" s="11"/>
      <c r="K49" s="11"/>
      <c r="L49" s="11"/>
      <c r="M49" s="16"/>
      <c r="N49" s="38">
        <f>2323.5+8120.5</f>
        <v>10444</v>
      </c>
      <c r="Q49" s="187">
        <v>51.070099999999996</v>
      </c>
      <c r="R49" s="8" t="b">
        <v>1</v>
      </c>
      <c r="S49" s="23" t="b">
        <v>1</v>
      </c>
      <c r="T49" s="23" t="s">
        <v>50</v>
      </c>
      <c r="U49" s="23" t="b">
        <v>1</v>
      </c>
      <c r="V49" s="23" t="b">
        <v>1</v>
      </c>
      <c r="W49" s="23" t="b">
        <v>1</v>
      </c>
      <c r="X49" s="23" t="s">
        <v>50</v>
      </c>
      <c r="Z49" s="23" t="s">
        <v>50</v>
      </c>
      <c r="AB49" s="66" t="s">
        <v>297</v>
      </c>
      <c r="AC49" s="2" t="s">
        <v>298</v>
      </c>
      <c r="AD49" s="2"/>
      <c r="AE49" s="2"/>
      <c r="AF49" s="2"/>
      <c r="AG49" s="2"/>
      <c r="AH49" s="2"/>
      <c r="AI49" s="2"/>
      <c r="AJ49" s="2"/>
      <c r="AK49" s="2"/>
      <c r="AL49" s="2"/>
      <c r="AM49" s="2"/>
      <c r="AN49" s="2"/>
      <c r="AO49" s="2"/>
      <c r="AP49" s="2"/>
      <c r="AQ49" s="44" t="s">
        <v>299</v>
      </c>
      <c r="AR49" t="s">
        <v>300</v>
      </c>
      <c r="AT49" s="46">
        <v>6812.22</v>
      </c>
      <c r="AU49" s="46">
        <v>18908.22</v>
      </c>
    </row>
    <row r="50" spans="1:47" ht="14.25" customHeight="1">
      <c r="A50" s="105" t="s">
        <v>62</v>
      </c>
      <c r="B50" s="106" t="s">
        <v>301</v>
      </c>
      <c r="C50" s="107" t="s">
        <v>49</v>
      </c>
      <c r="D50" s="11"/>
      <c r="E50" s="11" t="b">
        <v>1</v>
      </c>
      <c r="F50" s="11"/>
      <c r="G50" s="11"/>
      <c r="H50" s="11"/>
      <c r="I50" s="11"/>
      <c r="J50" s="11"/>
      <c r="K50" s="11"/>
      <c r="L50" s="11"/>
      <c r="M50" s="83"/>
      <c r="Q50" s="187"/>
      <c r="R50" s="8" t="b">
        <v>1</v>
      </c>
      <c r="S50" s="23" t="s">
        <v>50</v>
      </c>
      <c r="T50" s="23" t="b">
        <v>1</v>
      </c>
      <c r="U50" s="23" t="s">
        <v>50</v>
      </c>
      <c r="V50" s="23" t="s">
        <v>50</v>
      </c>
      <c r="W50" s="23" t="s">
        <v>50</v>
      </c>
      <c r="X50" s="23" t="s">
        <v>50</v>
      </c>
      <c r="Z50" s="23" t="s">
        <v>50</v>
      </c>
      <c r="AB50" s="66" t="s">
        <v>302</v>
      </c>
      <c r="AC50" s="2" t="s">
        <v>66</v>
      </c>
      <c r="AD50" s="2"/>
      <c r="AE50" s="2"/>
      <c r="AF50" s="2"/>
      <c r="AG50" s="2"/>
      <c r="AH50" s="2"/>
      <c r="AI50" s="2"/>
      <c r="AJ50" s="2"/>
      <c r="AK50" s="2"/>
      <c r="AL50" s="2"/>
      <c r="AM50" s="2"/>
      <c r="AN50" s="2"/>
      <c r="AO50" s="2"/>
      <c r="AP50" s="2"/>
      <c r="AQ50" s="20" t="s">
        <v>303</v>
      </c>
      <c r="AR50" t="s">
        <v>304</v>
      </c>
      <c r="AT50" s="46"/>
      <c r="AU50" s="46"/>
    </row>
    <row r="51" spans="1:47" ht="14.25" customHeight="1">
      <c r="A51" s="27" t="s">
        <v>305</v>
      </c>
      <c r="B51" s="87" t="s">
        <v>306</v>
      </c>
      <c r="C51" s="97" t="s">
        <v>49</v>
      </c>
      <c r="D51" s="11"/>
      <c r="E51" s="11"/>
      <c r="F51" s="11"/>
      <c r="G51" s="11"/>
      <c r="H51" s="11" t="b">
        <v>1</v>
      </c>
      <c r="I51" s="11"/>
      <c r="J51" s="11" t="b">
        <v>1</v>
      </c>
      <c r="K51" s="11"/>
      <c r="L51" s="11"/>
      <c r="M51" s="16"/>
      <c r="Q51" s="187">
        <v>44</v>
      </c>
      <c r="R51" s="8" t="b">
        <v>1</v>
      </c>
      <c r="S51" s="23" t="b">
        <v>1</v>
      </c>
      <c r="T51" s="23" t="s">
        <v>50</v>
      </c>
      <c r="U51" s="23" t="b">
        <v>1</v>
      </c>
      <c r="V51" s="23" t="b">
        <v>1</v>
      </c>
      <c r="W51" s="23" t="s">
        <v>50</v>
      </c>
      <c r="X51" s="23" t="s">
        <v>50</v>
      </c>
      <c r="Z51" s="23" t="s">
        <v>50</v>
      </c>
      <c r="AB51" s="66" t="s">
        <v>307</v>
      </c>
      <c r="AC51" s="2" t="s">
        <v>86</v>
      </c>
      <c r="AD51" s="2" t="s">
        <v>97</v>
      </c>
      <c r="AE51" s="2" t="s">
        <v>165</v>
      </c>
      <c r="AF51" s="2" t="s">
        <v>101</v>
      </c>
      <c r="AG51" s="2" t="s">
        <v>308</v>
      </c>
      <c r="AH51" s="2"/>
      <c r="AI51" s="2"/>
      <c r="AJ51" s="2"/>
      <c r="AK51" s="2"/>
      <c r="AL51" s="2"/>
      <c r="AM51" s="2"/>
      <c r="AN51" s="2"/>
      <c r="AO51" s="2"/>
      <c r="AP51" s="2"/>
      <c r="AQ51" s="44" t="s">
        <v>309</v>
      </c>
      <c r="AR51" t="s">
        <v>310</v>
      </c>
      <c r="AT51" s="46"/>
      <c r="AU51" s="46"/>
    </row>
    <row r="52" spans="1:47" ht="14.25" customHeight="1">
      <c r="A52" s="105" t="s">
        <v>311</v>
      </c>
      <c r="B52" s="106" t="s">
        <v>312</v>
      </c>
      <c r="C52" s="107" t="s">
        <v>70</v>
      </c>
      <c r="D52" s="11"/>
      <c r="E52" s="11"/>
      <c r="F52" s="11"/>
      <c r="G52" s="11"/>
      <c r="H52" s="11"/>
      <c r="I52" s="11"/>
      <c r="J52" s="11"/>
      <c r="K52" s="11"/>
      <c r="L52" s="11"/>
      <c r="M52" s="16"/>
      <c r="N52" s="38">
        <f>1820.83+7617.83</f>
        <v>9438.66</v>
      </c>
      <c r="Q52" s="187">
        <v>51.1599</v>
      </c>
      <c r="R52" s="8" t="b">
        <v>1</v>
      </c>
      <c r="S52" s="23" t="b">
        <v>1</v>
      </c>
      <c r="U52" s="23" t="b">
        <v>1</v>
      </c>
      <c r="AB52" s="66" t="s">
        <v>313</v>
      </c>
      <c r="AC52" s="2"/>
      <c r="AD52" s="2"/>
      <c r="AE52" s="2"/>
      <c r="AF52" s="2"/>
      <c r="AG52" s="2"/>
      <c r="AH52" s="2"/>
      <c r="AI52" s="2"/>
      <c r="AJ52" s="2"/>
      <c r="AK52" s="2"/>
      <c r="AL52" s="2"/>
      <c r="AM52" s="2"/>
      <c r="AN52" s="2"/>
      <c r="AO52" s="2"/>
      <c r="AP52" s="2"/>
      <c r="AQ52" s="44" t="s">
        <v>314</v>
      </c>
      <c r="AR52" t="s">
        <v>315</v>
      </c>
      <c r="AT52" s="46">
        <v>6861.83</v>
      </c>
      <c r="AU52" s="46">
        <v>18689.830000000002</v>
      </c>
    </row>
    <row r="53" spans="1:47" ht="14.25" customHeight="1">
      <c r="A53" s="105" t="s">
        <v>316</v>
      </c>
      <c r="B53" s="106" t="s">
        <v>317</v>
      </c>
      <c r="C53" s="107" t="s">
        <v>70</v>
      </c>
      <c r="D53" s="11"/>
      <c r="E53" s="11"/>
      <c r="F53" s="11"/>
      <c r="G53" s="11"/>
      <c r="H53" s="11"/>
      <c r="I53" s="11"/>
      <c r="J53" s="11"/>
      <c r="K53" s="11"/>
      <c r="L53" s="11"/>
      <c r="M53" s="16"/>
      <c r="Q53" s="187">
        <v>51.150100000000002</v>
      </c>
      <c r="R53" s="8" t="b">
        <v>1</v>
      </c>
      <c r="S53" s="23" t="b">
        <v>1</v>
      </c>
      <c r="U53" s="23" t="b">
        <v>1</v>
      </c>
      <c r="V53" s="23" t="b">
        <v>1</v>
      </c>
      <c r="AB53" s="66" t="s">
        <v>318</v>
      </c>
      <c r="AC53" s="2"/>
      <c r="AD53" s="2"/>
      <c r="AE53" s="2"/>
      <c r="AF53" s="2"/>
      <c r="AG53" s="2"/>
      <c r="AH53" s="2"/>
      <c r="AI53" s="2"/>
      <c r="AJ53" s="2"/>
      <c r="AK53" s="2"/>
      <c r="AL53" s="2"/>
      <c r="AM53" s="2"/>
      <c r="AN53" s="2"/>
      <c r="AO53" s="2"/>
      <c r="AP53" s="2"/>
      <c r="AQ53" s="44" t="s">
        <v>319</v>
      </c>
      <c r="AR53" t="s">
        <v>320</v>
      </c>
      <c r="AT53" s="46"/>
      <c r="AU53" s="46"/>
    </row>
    <row r="54" spans="1:47" ht="14.25" customHeight="1">
      <c r="A54" s="27" t="s">
        <v>62</v>
      </c>
      <c r="B54" s="87" t="s">
        <v>321</v>
      </c>
      <c r="C54" s="97" t="s">
        <v>49</v>
      </c>
      <c r="D54" s="11" t="b">
        <v>1</v>
      </c>
      <c r="E54" s="11"/>
      <c r="F54" s="11"/>
      <c r="G54" s="11"/>
      <c r="H54" s="11" t="b">
        <v>1</v>
      </c>
      <c r="I54" s="11"/>
      <c r="J54" s="11" t="b">
        <v>1</v>
      </c>
      <c r="K54" s="11"/>
      <c r="L54" s="11"/>
      <c r="M54" s="200" t="s">
        <v>196</v>
      </c>
      <c r="Q54" s="187"/>
      <c r="R54" s="8"/>
      <c r="S54" s="23" t="s">
        <v>50</v>
      </c>
      <c r="T54" s="23" t="s">
        <v>50</v>
      </c>
      <c r="U54" s="23" t="s">
        <v>50</v>
      </c>
      <c r="V54" s="23" t="s">
        <v>50</v>
      </c>
      <c r="W54" s="23" t="b">
        <v>1</v>
      </c>
      <c r="X54" s="23" t="s">
        <v>50</v>
      </c>
      <c r="Z54" s="23" t="s">
        <v>50</v>
      </c>
      <c r="AB54" s="66" t="s">
        <v>322</v>
      </c>
      <c r="AC54" s="2" t="s">
        <v>66</v>
      </c>
      <c r="AD54" s="2"/>
      <c r="AE54" s="2"/>
      <c r="AF54" s="2"/>
      <c r="AG54" s="2"/>
      <c r="AH54" s="2"/>
      <c r="AI54" s="2"/>
      <c r="AJ54" s="2"/>
      <c r="AK54" s="2"/>
      <c r="AL54" s="2"/>
      <c r="AM54" s="2"/>
      <c r="AN54" s="2"/>
      <c r="AO54" s="2"/>
      <c r="AP54" s="2"/>
      <c r="AQ54" s="20" t="s">
        <v>323</v>
      </c>
      <c r="AT54" s="46">
        <v>125</v>
      </c>
      <c r="AU54" s="46">
        <v>125</v>
      </c>
    </row>
    <row r="55" spans="1:47" ht="14.25" customHeight="1">
      <c r="A55" s="27"/>
      <c r="B55" s="87" t="s">
        <v>324</v>
      </c>
      <c r="C55" s="97" t="s">
        <v>49</v>
      </c>
      <c r="D55" s="11"/>
      <c r="E55" s="11"/>
      <c r="F55" s="11"/>
      <c r="G55" s="11" t="b">
        <v>1</v>
      </c>
      <c r="H55" s="11"/>
      <c r="I55" s="11"/>
      <c r="J55" s="11"/>
      <c r="K55" s="11" t="b">
        <v>1</v>
      </c>
      <c r="L55" s="11"/>
      <c r="M55" s="83">
        <v>1149</v>
      </c>
      <c r="Q55" s="187"/>
      <c r="R55" s="8"/>
      <c r="S55" s="23" t="s">
        <v>50</v>
      </c>
      <c r="V55" s="23" t="b">
        <v>1</v>
      </c>
      <c r="W55" s="23" t="b">
        <v>1</v>
      </c>
      <c r="X55" s="23" t="s">
        <v>50</v>
      </c>
      <c r="Z55" s="23" t="s">
        <v>50</v>
      </c>
      <c r="AB55" s="66"/>
      <c r="AC55" s="2"/>
      <c r="AD55" s="2"/>
      <c r="AE55" s="2"/>
      <c r="AF55" s="2"/>
      <c r="AG55" s="2"/>
      <c r="AH55" s="2"/>
      <c r="AI55" s="2"/>
      <c r="AJ55" s="2"/>
      <c r="AK55" s="2"/>
      <c r="AL55" s="2"/>
      <c r="AM55" s="2"/>
      <c r="AN55" s="2"/>
      <c r="AO55" s="2"/>
      <c r="AP55" s="2"/>
      <c r="AQ55" s="238" t="s">
        <v>325</v>
      </c>
      <c r="AR55" t="s">
        <v>326</v>
      </c>
      <c r="AT55" s="46">
        <v>385</v>
      </c>
      <c r="AU55" s="46">
        <v>385</v>
      </c>
    </row>
    <row r="56" spans="1:47" ht="14.25" customHeight="1">
      <c r="A56" s="27" t="s">
        <v>62</v>
      </c>
      <c r="B56" s="88" t="s">
        <v>327</v>
      </c>
      <c r="C56" s="97" t="s">
        <v>70</v>
      </c>
      <c r="D56" s="11"/>
      <c r="E56" s="11"/>
      <c r="F56" s="11"/>
      <c r="G56" s="11" t="b">
        <v>1</v>
      </c>
      <c r="H56" s="11"/>
      <c r="I56" s="11"/>
      <c r="J56" s="11"/>
      <c r="K56" s="11"/>
      <c r="L56" s="11"/>
      <c r="M56" s="200" t="s">
        <v>140</v>
      </c>
      <c r="Q56" s="187"/>
      <c r="R56" s="8"/>
      <c r="S56" s="23" t="s">
        <v>50</v>
      </c>
      <c r="T56" s="23" t="s">
        <v>50</v>
      </c>
      <c r="U56" s="23" t="s">
        <v>50</v>
      </c>
      <c r="V56" s="23" t="s">
        <v>50</v>
      </c>
      <c r="W56" s="23" t="b">
        <v>1</v>
      </c>
      <c r="X56" s="23" t="s">
        <v>50</v>
      </c>
      <c r="Z56" s="23" t="s">
        <v>50</v>
      </c>
      <c r="AB56" s="66" t="s">
        <v>328</v>
      </c>
      <c r="AC56" s="2" t="s">
        <v>66</v>
      </c>
      <c r="AD56" s="2"/>
      <c r="AE56" s="2"/>
      <c r="AF56" s="2"/>
      <c r="AG56" s="2"/>
      <c r="AH56" s="2"/>
      <c r="AI56" s="2"/>
      <c r="AJ56" s="2"/>
      <c r="AK56" s="2"/>
      <c r="AL56" s="2"/>
      <c r="AM56" s="2"/>
      <c r="AN56" s="2"/>
      <c r="AO56" s="2"/>
      <c r="AP56" s="2"/>
      <c r="AQ56" s="20" t="s">
        <v>329</v>
      </c>
      <c r="AR56" t="s">
        <v>330</v>
      </c>
      <c r="AT56" s="46"/>
      <c r="AU56" s="46"/>
    </row>
    <row r="57" spans="1:47" ht="14.25" customHeight="1">
      <c r="A57" s="27" t="s">
        <v>331</v>
      </c>
      <c r="B57" s="87" t="s">
        <v>332</v>
      </c>
      <c r="C57" s="97" t="s">
        <v>49</v>
      </c>
      <c r="D57" s="11" t="b">
        <v>1</v>
      </c>
      <c r="E57" s="11"/>
      <c r="F57" s="11"/>
      <c r="G57" s="11"/>
      <c r="H57" s="11"/>
      <c r="I57" s="11"/>
      <c r="J57" s="11" t="b">
        <v>1</v>
      </c>
      <c r="K57" s="11"/>
      <c r="L57" s="11"/>
      <c r="M57" s="16"/>
      <c r="P57" s="5">
        <f>253.25+2207.25</f>
        <v>2460.5</v>
      </c>
      <c r="Q57" s="187">
        <v>19.070599999999999</v>
      </c>
      <c r="R57" s="8" t="b">
        <v>1</v>
      </c>
      <c r="S57" s="23" t="s">
        <v>50</v>
      </c>
      <c r="T57" s="23" t="s">
        <v>50</v>
      </c>
      <c r="U57" s="23" t="b">
        <v>1</v>
      </c>
      <c r="V57" s="23" t="b">
        <v>1</v>
      </c>
      <c r="W57" s="23" t="s">
        <v>50</v>
      </c>
      <c r="X57" s="23" t="s">
        <v>50</v>
      </c>
      <c r="Z57" s="23" t="s">
        <v>50</v>
      </c>
      <c r="AB57" s="66" t="s">
        <v>333</v>
      </c>
      <c r="AC57" s="2" t="s">
        <v>219</v>
      </c>
      <c r="AD57" s="2"/>
      <c r="AE57" s="2"/>
      <c r="AF57" s="2"/>
      <c r="AG57" s="2"/>
      <c r="AH57" s="2"/>
      <c r="AI57" s="2"/>
      <c r="AJ57" s="2"/>
      <c r="AK57" s="2"/>
      <c r="AL57" s="2"/>
      <c r="AM57" s="2"/>
      <c r="AN57" s="2"/>
      <c r="AO57" s="2"/>
      <c r="AP57" s="2"/>
      <c r="AQ57" s="45" t="s">
        <v>334</v>
      </c>
      <c r="AR57" t="s">
        <v>335</v>
      </c>
      <c r="AT57" s="46"/>
      <c r="AU57" s="46"/>
    </row>
    <row r="58" spans="1:47" ht="14.25" customHeight="1">
      <c r="A58" s="27" t="s">
        <v>336</v>
      </c>
      <c r="B58" s="87" t="s">
        <v>337</v>
      </c>
      <c r="C58" s="97" t="s">
        <v>49</v>
      </c>
      <c r="D58" s="11" t="b">
        <v>1</v>
      </c>
      <c r="E58" s="11"/>
      <c r="F58" s="11"/>
      <c r="G58" s="11"/>
      <c r="H58" s="11"/>
      <c r="I58" s="11"/>
      <c r="J58" s="11"/>
      <c r="K58" s="11" t="b">
        <v>1</v>
      </c>
      <c r="L58" s="11"/>
      <c r="M58" s="16"/>
      <c r="N58" s="38">
        <f>1177.48+6974.48</f>
        <v>8151.9599999999991</v>
      </c>
      <c r="Q58" s="187">
        <v>11.010300000000001</v>
      </c>
      <c r="R58" s="8" t="b">
        <v>1</v>
      </c>
      <c r="S58" s="23" t="b">
        <v>1</v>
      </c>
      <c r="T58" s="23" t="b">
        <v>1</v>
      </c>
      <c r="U58" s="23" t="b">
        <v>1</v>
      </c>
      <c r="V58" s="23" t="b">
        <v>1</v>
      </c>
      <c r="W58" s="23" t="b">
        <v>1</v>
      </c>
      <c r="X58" s="23" t="s">
        <v>50</v>
      </c>
      <c r="Z58" s="23" t="s">
        <v>50</v>
      </c>
      <c r="AB58" s="66" t="s">
        <v>338</v>
      </c>
      <c r="AC58" s="2" t="s">
        <v>339</v>
      </c>
      <c r="AD58" s="2" t="s">
        <v>340</v>
      </c>
      <c r="AE58" s="2" t="s">
        <v>88</v>
      </c>
      <c r="AF58" s="2" t="s">
        <v>116</v>
      </c>
      <c r="AG58" s="56"/>
      <c r="AH58" s="56"/>
      <c r="AI58" s="2"/>
      <c r="AJ58" s="2"/>
      <c r="AK58" s="2"/>
      <c r="AL58" s="2"/>
      <c r="AM58" s="2"/>
      <c r="AN58" s="2"/>
      <c r="AO58" s="2"/>
      <c r="AP58" s="2"/>
      <c r="AQ58" s="44" t="s">
        <v>341</v>
      </c>
      <c r="AR58" t="s">
        <v>342</v>
      </c>
      <c r="AT58" s="46"/>
      <c r="AU58" s="46"/>
    </row>
    <row r="59" spans="1:47" ht="14.25" customHeight="1">
      <c r="A59" s="27" t="s">
        <v>62</v>
      </c>
      <c r="B59" s="92" t="s">
        <v>343</v>
      </c>
      <c r="C59" s="97" t="s">
        <v>70</v>
      </c>
      <c r="D59" s="11"/>
      <c r="E59" s="11"/>
      <c r="F59" s="11"/>
      <c r="G59" s="11" t="b">
        <v>1</v>
      </c>
      <c r="H59" s="11"/>
      <c r="I59" s="11"/>
      <c r="J59" s="11"/>
      <c r="K59" s="11"/>
      <c r="L59" s="11"/>
      <c r="M59" s="200" t="s">
        <v>140</v>
      </c>
      <c r="Q59" s="187"/>
      <c r="R59" s="8"/>
      <c r="S59" s="23" t="s">
        <v>50</v>
      </c>
      <c r="T59" s="23" t="s">
        <v>50</v>
      </c>
      <c r="U59" s="23" t="s">
        <v>50</v>
      </c>
      <c r="V59" s="23" t="s">
        <v>50</v>
      </c>
      <c r="W59" s="23" t="b">
        <v>1</v>
      </c>
      <c r="X59" s="23" t="s">
        <v>50</v>
      </c>
      <c r="Z59" s="23" t="s">
        <v>50</v>
      </c>
      <c r="AB59" s="66"/>
      <c r="AC59" s="2" t="s">
        <v>66</v>
      </c>
      <c r="AD59" s="2"/>
      <c r="AE59" s="2"/>
      <c r="AF59" s="2"/>
      <c r="AG59" s="2"/>
      <c r="AH59" s="2"/>
      <c r="AI59" s="2"/>
      <c r="AJ59" s="2"/>
      <c r="AK59" s="2"/>
      <c r="AL59" s="2"/>
      <c r="AM59" s="2"/>
      <c r="AN59" s="2"/>
      <c r="AO59" s="2"/>
      <c r="AP59" s="2"/>
      <c r="AQ59" s="20" t="s">
        <v>344</v>
      </c>
      <c r="AR59" t="s">
        <v>345</v>
      </c>
      <c r="AT59" s="46"/>
      <c r="AU59" s="46"/>
    </row>
    <row r="60" spans="1:47" ht="14.25" customHeight="1">
      <c r="A60" s="27" t="s">
        <v>62</v>
      </c>
      <c r="B60" s="89" t="s">
        <v>346</v>
      </c>
      <c r="C60" s="97" t="s">
        <v>70</v>
      </c>
      <c r="D60" s="11"/>
      <c r="E60" s="11"/>
      <c r="F60" s="11"/>
      <c r="G60" s="11"/>
      <c r="H60" s="11"/>
      <c r="I60" s="11"/>
      <c r="J60" s="11"/>
      <c r="K60" s="11"/>
      <c r="L60" s="11" t="b">
        <v>1</v>
      </c>
      <c r="M60" s="16"/>
      <c r="Q60" s="187"/>
      <c r="R60" s="8"/>
      <c r="S60" s="23" t="s">
        <v>50</v>
      </c>
      <c r="T60" s="23" t="s">
        <v>50</v>
      </c>
      <c r="U60" s="23" t="s">
        <v>50</v>
      </c>
      <c r="V60" s="23" t="s">
        <v>50</v>
      </c>
      <c r="W60" s="23" t="s">
        <v>50</v>
      </c>
      <c r="X60" s="23" t="b">
        <v>1</v>
      </c>
      <c r="Z60" s="23" t="s">
        <v>50</v>
      </c>
      <c r="AB60" s="66"/>
      <c r="AC60" s="2" t="s">
        <v>66</v>
      </c>
      <c r="AD60" s="2"/>
      <c r="AE60" s="2"/>
      <c r="AF60" s="2"/>
      <c r="AG60" s="2"/>
      <c r="AH60" s="2"/>
      <c r="AI60" s="2"/>
      <c r="AJ60" s="2"/>
      <c r="AK60" s="2"/>
      <c r="AL60" s="2"/>
      <c r="AM60" s="2"/>
      <c r="AN60" s="2"/>
      <c r="AO60" s="2"/>
      <c r="AP60" s="2"/>
      <c r="AQ60" s="20" t="s">
        <v>347</v>
      </c>
      <c r="AR60" t="s">
        <v>348</v>
      </c>
      <c r="AT60" s="46"/>
      <c r="AU60" s="46"/>
    </row>
    <row r="61" spans="1:47" ht="14.25" customHeight="1">
      <c r="A61" s="27" t="s">
        <v>62</v>
      </c>
      <c r="B61" s="87" t="s">
        <v>349</v>
      </c>
      <c r="C61" s="97" t="s">
        <v>49</v>
      </c>
      <c r="D61" s="11"/>
      <c r="E61" s="11"/>
      <c r="F61" s="11"/>
      <c r="G61" s="11"/>
      <c r="H61" s="11"/>
      <c r="I61" s="11"/>
      <c r="J61" s="11"/>
      <c r="K61" s="11"/>
      <c r="L61" s="11" t="b">
        <v>1</v>
      </c>
      <c r="M61" s="83">
        <v>70</v>
      </c>
      <c r="Q61" s="187"/>
      <c r="R61" s="8"/>
      <c r="S61" s="23" t="s">
        <v>50</v>
      </c>
      <c r="T61" s="23" t="s">
        <v>50</v>
      </c>
      <c r="U61" s="23" t="s">
        <v>50</v>
      </c>
      <c r="V61" s="23" t="s">
        <v>50</v>
      </c>
      <c r="W61" s="23" t="s">
        <v>50</v>
      </c>
      <c r="X61" s="23" t="b">
        <v>1</v>
      </c>
      <c r="Z61" s="23" t="s">
        <v>50</v>
      </c>
      <c r="AB61" s="66" t="s">
        <v>350</v>
      </c>
      <c r="AC61" s="2" t="s">
        <v>66</v>
      </c>
      <c r="AD61" s="2"/>
      <c r="AE61" s="2"/>
      <c r="AF61" s="2"/>
      <c r="AG61" s="2"/>
      <c r="AH61" s="2"/>
      <c r="AI61" s="2"/>
      <c r="AJ61" s="2"/>
      <c r="AK61" s="2"/>
      <c r="AL61" s="2"/>
      <c r="AM61" s="2"/>
      <c r="AN61" s="2"/>
      <c r="AO61" s="2"/>
      <c r="AP61" s="2"/>
      <c r="AQ61" s="20" t="s">
        <v>351</v>
      </c>
      <c r="AR61" t="s">
        <v>352</v>
      </c>
      <c r="AT61" s="46">
        <v>70</v>
      </c>
      <c r="AU61" s="46">
        <v>70</v>
      </c>
    </row>
    <row r="62" spans="1:47" ht="14.25" customHeight="1">
      <c r="A62" s="27"/>
      <c r="B62" s="88" t="s">
        <v>353</v>
      </c>
      <c r="C62" s="97" t="s">
        <v>70</v>
      </c>
      <c r="D62" s="11"/>
      <c r="E62" s="11"/>
      <c r="F62" s="11"/>
      <c r="G62" s="11" t="b">
        <v>1</v>
      </c>
      <c r="H62" s="11"/>
      <c r="I62" s="11"/>
      <c r="J62" s="11"/>
      <c r="K62" s="11"/>
      <c r="L62" s="11"/>
      <c r="M62" s="200" t="s">
        <v>140</v>
      </c>
      <c r="Q62" s="187"/>
      <c r="R62" s="8"/>
      <c r="W62" s="23" t="b">
        <v>1</v>
      </c>
      <c r="AB62" s="66" t="s">
        <v>354</v>
      </c>
      <c r="AC62" s="2"/>
      <c r="AD62" s="2"/>
      <c r="AE62" s="2"/>
      <c r="AF62" s="2"/>
      <c r="AG62" s="2"/>
      <c r="AH62" s="2"/>
      <c r="AI62" s="2"/>
      <c r="AJ62" s="2"/>
      <c r="AK62" s="2"/>
      <c r="AL62" s="2"/>
      <c r="AM62" s="2"/>
      <c r="AN62" s="2"/>
      <c r="AO62" s="2"/>
      <c r="AP62" s="2"/>
      <c r="AQ62" s="20" t="s">
        <v>355</v>
      </c>
      <c r="AR62" t="s">
        <v>356</v>
      </c>
      <c r="AT62" s="46">
        <v>180</v>
      </c>
      <c r="AU62" s="46">
        <v>180</v>
      </c>
    </row>
    <row r="63" spans="1:47" ht="14.25" customHeight="1">
      <c r="A63" s="27"/>
      <c r="B63" s="88" t="s">
        <v>357</v>
      </c>
      <c r="C63" s="97" t="s">
        <v>49</v>
      </c>
      <c r="D63" s="11"/>
      <c r="E63" s="11"/>
      <c r="F63" s="11"/>
      <c r="G63" s="11"/>
      <c r="H63" s="11"/>
      <c r="I63" s="11"/>
      <c r="J63" s="11"/>
      <c r="K63" s="11"/>
      <c r="L63" s="11" t="b">
        <v>1</v>
      </c>
      <c r="M63" s="239">
        <v>70</v>
      </c>
      <c r="Q63" s="187"/>
      <c r="R63" s="8"/>
      <c r="W63" s="23" t="b">
        <v>1</v>
      </c>
      <c r="AB63" s="66" t="s">
        <v>358</v>
      </c>
      <c r="AC63" s="2"/>
      <c r="AD63" s="2"/>
      <c r="AE63" s="2"/>
      <c r="AF63" s="2"/>
      <c r="AG63" s="2"/>
      <c r="AH63" s="2"/>
      <c r="AI63" s="2"/>
      <c r="AJ63" s="2"/>
      <c r="AK63" s="2"/>
      <c r="AL63" s="2"/>
      <c r="AM63" s="2"/>
      <c r="AN63" s="2"/>
      <c r="AO63" s="2"/>
      <c r="AP63" s="2"/>
      <c r="AQ63" s="20" t="s">
        <v>359</v>
      </c>
      <c r="AR63" t="s">
        <v>360</v>
      </c>
      <c r="AT63" s="46">
        <v>70</v>
      </c>
      <c r="AU63" s="46">
        <v>70</v>
      </c>
    </row>
    <row r="64" spans="1:47" ht="14.25" customHeight="1">
      <c r="A64" s="27" t="s">
        <v>62</v>
      </c>
      <c r="B64" s="87" t="s">
        <v>361</v>
      </c>
      <c r="C64" s="97" t="s">
        <v>49</v>
      </c>
      <c r="D64" s="11" t="b">
        <v>1</v>
      </c>
      <c r="E64" s="11"/>
      <c r="F64" s="11"/>
      <c r="G64" s="11"/>
      <c r="H64" s="11"/>
      <c r="I64" s="11"/>
      <c r="J64" s="11"/>
      <c r="K64" s="11"/>
      <c r="L64" s="11"/>
      <c r="M64" s="239">
        <v>70</v>
      </c>
      <c r="Q64" s="187"/>
      <c r="R64" s="8" t="b">
        <v>1</v>
      </c>
      <c r="S64" s="23" t="s">
        <v>50</v>
      </c>
      <c r="T64" s="23" t="s">
        <v>50</v>
      </c>
      <c r="U64" s="23" t="s">
        <v>50</v>
      </c>
      <c r="V64" s="23" t="s">
        <v>50</v>
      </c>
      <c r="W64" s="23" t="b">
        <v>1</v>
      </c>
      <c r="X64" s="23" t="s">
        <v>50</v>
      </c>
      <c r="Z64" s="23" t="s">
        <v>50</v>
      </c>
      <c r="AB64" s="66" t="s">
        <v>362</v>
      </c>
      <c r="AC64" s="2" t="s">
        <v>66</v>
      </c>
      <c r="AD64" s="2"/>
      <c r="AE64" s="2"/>
      <c r="AF64" s="2"/>
      <c r="AG64" s="2"/>
      <c r="AH64" s="2"/>
      <c r="AI64" s="2"/>
      <c r="AJ64" s="2"/>
      <c r="AK64" s="2"/>
      <c r="AL64" s="2"/>
      <c r="AM64" s="2"/>
      <c r="AN64" s="2"/>
      <c r="AO64" s="2"/>
      <c r="AP64" s="2"/>
      <c r="AQ64" s="20" t="s">
        <v>363</v>
      </c>
      <c r="AR64" t="s">
        <v>364</v>
      </c>
      <c r="AT64" s="46">
        <v>70</v>
      </c>
      <c r="AU64" s="46">
        <v>70</v>
      </c>
    </row>
    <row r="65" spans="1:47" ht="14.25" customHeight="1">
      <c r="A65" s="27" t="s">
        <v>62</v>
      </c>
      <c r="B65" s="87" t="s">
        <v>365</v>
      </c>
      <c r="C65" s="97" t="s">
        <v>70</v>
      </c>
      <c r="D65" s="11"/>
      <c r="E65" s="11"/>
      <c r="F65" s="11" t="b">
        <v>1</v>
      </c>
      <c r="G65" s="11"/>
      <c r="H65" s="11"/>
      <c r="I65" s="11"/>
      <c r="J65" s="11"/>
      <c r="K65" s="11"/>
      <c r="L65" s="11"/>
      <c r="M65" s="16" t="s">
        <v>366</v>
      </c>
      <c r="Q65" s="187"/>
      <c r="R65" s="8"/>
      <c r="S65" s="23" t="s">
        <v>50</v>
      </c>
      <c r="T65" s="23" t="s">
        <v>50</v>
      </c>
      <c r="U65" s="23" t="s">
        <v>50</v>
      </c>
      <c r="V65" s="23" t="s">
        <v>50</v>
      </c>
      <c r="W65" s="23" t="b">
        <v>1</v>
      </c>
      <c r="X65" s="23" t="s">
        <v>50</v>
      </c>
      <c r="Z65" s="23" t="s">
        <v>50</v>
      </c>
      <c r="AB65" s="66" t="s">
        <v>367</v>
      </c>
      <c r="AC65" s="2" t="s">
        <v>66</v>
      </c>
      <c r="AD65" s="2"/>
      <c r="AE65" s="2"/>
      <c r="AF65" s="2"/>
      <c r="AG65" s="2"/>
      <c r="AH65" s="2"/>
      <c r="AI65" s="2"/>
      <c r="AJ65" s="2"/>
      <c r="AK65" s="2"/>
      <c r="AL65" s="2"/>
      <c r="AM65" s="2"/>
      <c r="AN65" s="2"/>
      <c r="AO65" s="2"/>
      <c r="AP65" s="2"/>
      <c r="AQ65" s="20" t="s">
        <v>368</v>
      </c>
      <c r="AR65" t="s">
        <v>369</v>
      </c>
      <c r="AT65" s="46">
        <v>180</v>
      </c>
      <c r="AU65" s="46">
        <v>180</v>
      </c>
    </row>
    <row r="66" spans="1:47" s="109" customFormat="1" ht="14.25" customHeight="1">
      <c r="A66" s="105"/>
      <c r="B66" s="106" t="s">
        <v>370</v>
      </c>
      <c r="C66" s="107" t="s">
        <v>49</v>
      </c>
      <c r="D66" s="200"/>
      <c r="E66" s="200"/>
      <c r="F66" s="200"/>
      <c r="G66" s="200" t="b">
        <v>1</v>
      </c>
      <c r="H66" s="200"/>
      <c r="I66" s="200"/>
      <c r="J66" s="200"/>
      <c r="K66" s="200" t="b">
        <v>1</v>
      </c>
      <c r="L66" s="200"/>
      <c r="M66" s="200" t="s">
        <v>140</v>
      </c>
      <c r="N66" s="201"/>
      <c r="O66" s="200"/>
      <c r="P66" s="200"/>
      <c r="Q66" s="202">
        <v>48.0503</v>
      </c>
      <c r="R66" s="200"/>
      <c r="S66" s="200" t="s">
        <v>50</v>
      </c>
      <c r="T66" s="200"/>
      <c r="U66" s="200"/>
      <c r="V66" s="200" t="b">
        <v>1</v>
      </c>
      <c r="W66" s="200" t="b">
        <v>1</v>
      </c>
      <c r="X66" s="200" t="s">
        <v>50</v>
      </c>
      <c r="Y66" s="200"/>
      <c r="Z66" s="200" t="s">
        <v>50</v>
      </c>
      <c r="AA66" s="200"/>
      <c r="AB66" s="203" t="s">
        <v>371</v>
      </c>
      <c r="AC66" s="200" t="s">
        <v>66</v>
      </c>
      <c r="AD66" s="200"/>
      <c r="AE66" s="200"/>
      <c r="AF66" s="200"/>
      <c r="AG66" s="200"/>
      <c r="AH66" s="200"/>
      <c r="AI66" s="200"/>
      <c r="AJ66" s="200"/>
      <c r="AK66" s="200"/>
      <c r="AL66" s="200"/>
      <c r="AM66" s="200"/>
      <c r="AN66" s="200"/>
      <c r="AO66" s="200"/>
      <c r="AP66" s="200"/>
      <c r="AQ66" s="204" t="s">
        <v>372</v>
      </c>
      <c r="AR66" s="109" t="s">
        <v>373</v>
      </c>
      <c r="AT66" s="191">
        <v>225</v>
      </c>
      <c r="AU66" s="191">
        <v>225</v>
      </c>
    </row>
    <row r="67" spans="1:47" s="109" customFormat="1" ht="14.25" customHeight="1">
      <c r="A67" s="105"/>
      <c r="B67" s="106" t="s">
        <v>374</v>
      </c>
      <c r="C67" s="107" t="s">
        <v>49</v>
      </c>
      <c r="D67" s="200"/>
      <c r="E67" s="200"/>
      <c r="F67" s="200"/>
      <c r="G67" s="200" t="b">
        <v>1</v>
      </c>
      <c r="H67" s="200"/>
      <c r="I67" s="200"/>
      <c r="J67" s="200"/>
      <c r="K67" s="200" t="b">
        <v>1</v>
      </c>
      <c r="L67" s="200"/>
      <c r="M67" s="200" t="s">
        <v>140</v>
      </c>
      <c r="N67" s="201"/>
      <c r="O67" s="200"/>
      <c r="P67" s="200"/>
      <c r="Q67" s="202"/>
      <c r="R67" s="200"/>
      <c r="S67" s="200"/>
      <c r="T67" s="200"/>
      <c r="U67" s="200"/>
      <c r="V67" s="200" t="b">
        <v>1</v>
      </c>
      <c r="W67" s="200" t="b">
        <v>1</v>
      </c>
      <c r="X67" s="200"/>
      <c r="Y67" s="200"/>
      <c r="Z67" s="200"/>
      <c r="AA67" s="200"/>
      <c r="AB67" s="203"/>
      <c r="AC67" s="200" t="s">
        <v>66</v>
      </c>
      <c r="AD67" s="200"/>
      <c r="AE67" s="200"/>
      <c r="AF67" s="200"/>
      <c r="AG67" s="200"/>
      <c r="AH67" s="200"/>
      <c r="AI67" s="200"/>
      <c r="AJ67" s="200"/>
      <c r="AK67" s="200"/>
      <c r="AL67" s="200"/>
      <c r="AM67" s="200"/>
      <c r="AN67" s="200"/>
      <c r="AO67" s="200"/>
      <c r="AP67" s="200"/>
      <c r="AQ67" s="204" t="s">
        <v>375</v>
      </c>
      <c r="AR67" s="64" t="s">
        <v>376</v>
      </c>
      <c r="AT67" s="191">
        <v>225</v>
      </c>
      <c r="AU67" s="191">
        <v>225</v>
      </c>
    </row>
    <row r="68" spans="1:47" s="109" customFormat="1" ht="14.25" customHeight="1">
      <c r="A68" s="105"/>
      <c r="B68" s="106" t="s">
        <v>377</v>
      </c>
      <c r="C68" s="107" t="s">
        <v>49</v>
      </c>
      <c r="D68" s="200"/>
      <c r="E68" s="200"/>
      <c r="F68" s="200"/>
      <c r="G68" s="200" t="b">
        <v>1</v>
      </c>
      <c r="H68" s="200"/>
      <c r="I68" s="200"/>
      <c r="J68" s="200"/>
      <c r="K68" s="200" t="b">
        <v>1</v>
      </c>
      <c r="L68" s="200"/>
      <c r="M68" s="200" t="s">
        <v>140</v>
      </c>
      <c r="N68" s="201"/>
      <c r="O68" s="200"/>
      <c r="P68" s="200"/>
      <c r="Q68" s="202"/>
      <c r="R68" s="200"/>
      <c r="S68" s="200"/>
      <c r="T68" s="200"/>
      <c r="U68" s="200"/>
      <c r="V68" s="200" t="b">
        <v>1</v>
      </c>
      <c r="W68" s="200" t="b">
        <v>1</v>
      </c>
      <c r="X68" s="200"/>
      <c r="Y68" s="200"/>
      <c r="Z68" s="200"/>
      <c r="AA68" s="200"/>
      <c r="AB68" s="203"/>
      <c r="AC68" s="200" t="s">
        <v>66</v>
      </c>
      <c r="AD68" s="200"/>
      <c r="AE68" s="200"/>
      <c r="AF68" s="200"/>
      <c r="AG68" s="200"/>
      <c r="AH68" s="200"/>
      <c r="AI68" s="200"/>
      <c r="AJ68" s="200"/>
      <c r="AK68" s="200"/>
      <c r="AL68" s="200"/>
      <c r="AM68" s="200"/>
      <c r="AN68" s="200"/>
      <c r="AO68" s="200"/>
      <c r="AP68" s="200"/>
      <c r="AQ68" s="204" t="s">
        <v>378</v>
      </c>
      <c r="AR68" s="64" t="s">
        <v>379</v>
      </c>
      <c r="AT68" s="191">
        <v>225</v>
      </c>
      <c r="AU68" s="191">
        <v>225</v>
      </c>
    </row>
    <row r="69" spans="1:47" ht="14.25" customHeight="1">
      <c r="A69" s="27" t="s">
        <v>62</v>
      </c>
      <c r="B69" s="88" t="s">
        <v>380</v>
      </c>
      <c r="C69" s="97" t="s">
        <v>70</v>
      </c>
      <c r="D69" s="11"/>
      <c r="E69" s="11"/>
      <c r="F69" s="11"/>
      <c r="G69" s="11" t="b">
        <v>1</v>
      </c>
      <c r="H69" s="11"/>
      <c r="I69" s="11"/>
      <c r="J69" s="11"/>
      <c r="K69" s="11"/>
      <c r="L69" s="11"/>
      <c r="M69" s="16"/>
      <c r="Q69" s="187"/>
      <c r="R69" s="8"/>
      <c r="S69" s="23" t="s">
        <v>50</v>
      </c>
      <c r="T69" s="23" t="s">
        <v>50</v>
      </c>
      <c r="U69" s="23" t="s">
        <v>50</v>
      </c>
      <c r="V69" s="23" t="s">
        <v>50</v>
      </c>
      <c r="W69" s="23" t="s">
        <v>50</v>
      </c>
      <c r="X69" s="23" t="s">
        <v>50</v>
      </c>
      <c r="Z69" s="23" t="s">
        <v>50</v>
      </c>
      <c r="AB69" s="66" t="s">
        <v>328</v>
      </c>
      <c r="AC69" s="2"/>
      <c r="AD69" s="2"/>
      <c r="AE69" s="2"/>
      <c r="AF69" s="2"/>
      <c r="AG69" s="2"/>
      <c r="AH69" s="2"/>
      <c r="AI69" s="2"/>
      <c r="AJ69" s="2"/>
      <c r="AK69" s="2"/>
      <c r="AL69" s="2"/>
      <c r="AM69" s="2"/>
      <c r="AN69" s="2"/>
      <c r="AO69" s="2"/>
      <c r="AP69" s="2"/>
      <c r="AQ69" s="20"/>
      <c r="AR69" t="s">
        <v>381</v>
      </c>
      <c r="AT69" s="46"/>
      <c r="AU69" s="46"/>
    </row>
    <row r="70" spans="1:47" ht="14.25" customHeight="1">
      <c r="A70" s="27"/>
      <c r="B70" s="92" t="s">
        <v>382</v>
      </c>
      <c r="C70" s="97" t="s">
        <v>49</v>
      </c>
      <c r="D70" s="11" t="b">
        <v>1</v>
      </c>
      <c r="E70" s="11"/>
      <c r="F70" s="11"/>
      <c r="G70" s="11"/>
      <c r="H70" s="11"/>
      <c r="I70" s="11"/>
      <c r="J70" s="11"/>
      <c r="K70" s="11"/>
      <c r="L70" s="11"/>
      <c r="M70" s="16"/>
      <c r="Q70" s="187"/>
      <c r="R70" s="8"/>
      <c r="W70" s="23" t="b">
        <v>1</v>
      </c>
      <c r="AB70" s="66"/>
      <c r="AC70" s="2"/>
      <c r="AD70" s="2"/>
      <c r="AE70" s="2"/>
      <c r="AF70" s="2"/>
      <c r="AG70" s="2"/>
      <c r="AH70" s="2"/>
      <c r="AI70" s="2"/>
      <c r="AJ70" s="2"/>
      <c r="AK70" s="2"/>
      <c r="AL70" s="2"/>
      <c r="AM70" s="2"/>
      <c r="AN70" s="2"/>
      <c r="AO70" s="2"/>
      <c r="AP70" s="2"/>
      <c r="AQ70" s="20"/>
      <c r="AR70" t="s">
        <v>383</v>
      </c>
      <c r="AT70" s="46"/>
      <c r="AU70" s="46"/>
    </row>
    <row r="71" spans="1:47" ht="14.25" customHeight="1">
      <c r="A71" s="27"/>
      <c r="B71" s="89" t="s">
        <v>384</v>
      </c>
      <c r="C71" s="97" t="s">
        <v>70</v>
      </c>
      <c r="D71" s="11"/>
      <c r="E71" s="11"/>
      <c r="F71" s="11"/>
      <c r="G71" s="11" t="b">
        <v>1</v>
      </c>
      <c r="H71" s="11"/>
      <c r="I71" s="11"/>
      <c r="J71" s="11"/>
      <c r="K71" s="11" t="b">
        <v>1</v>
      </c>
      <c r="L71" s="11"/>
      <c r="M71" s="16"/>
      <c r="N71" s="38">
        <f>1245.62+7042.62</f>
        <v>8288.24</v>
      </c>
      <c r="Q71" s="187">
        <v>15.080500000000001</v>
      </c>
      <c r="R71" s="8"/>
      <c r="W71" s="23" t="s">
        <v>50</v>
      </c>
      <c r="X71" s="23" t="s">
        <v>50</v>
      </c>
      <c r="Z71" s="23" t="s">
        <v>50</v>
      </c>
      <c r="AB71" s="66"/>
      <c r="AC71" s="2" t="s">
        <v>77</v>
      </c>
      <c r="AD71" s="2" t="s">
        <v>385</v>
      </c>
      <c r="AE71" s="2" t="s">
        <v>117</v>
      </c>
      <c r="AF71" s="2"/>
      <c r="AG71" s="2"/>
      <c r="AH71" s="2"/>
      <c r="AI71" s="2"/>
      <c r="AJ71" s="2"/>
      <c r="AK71" s="2"/>
      <c r="AL71" s="2"/>
      <c r="AM71" s="2"/>
      <c r="AN71" s="2"/>
      <c r="AO71" s="2"/>
      <c r="AP71" s="2"/>
      <c r="AQ71" s="76" t="s">
        <v>386</v>
      </c>
      <c r="AR71" t="s">
        <v>387</v>
      </c>
      <c r="AT71" s="46"/>
      <c r="AU71" s="46"/>
    </row>
    <row r="72" spans="1:47" ht="14.25" customHeight="1">
      <c r="A72" s="27" t="s">
        <v>388</v>
      </c>
      <c r="B72" s="87" t="s">
        <v>389</v>
      </c>
      <c r="C72" s="97" t="s">
        <v>49</v>
      </c>
      <c r="D72" s="11"/>
      <c r="E72" s="11"/>
      <c r="F72" s="11"/>
      <c r="G72" s="11" t="b">
        <v>1</v>
      </c>
      <c r="H72" s="11"/>
      <c r="I72" s="11"/>
      <c r="J72" s="11"/>
      <c r="K72" s="11" t="b">
        <v>1</v>
      </c>
      <c r="L72" s="11"/>
      <c r="M72" s="16"/>
      <c r="N72" s="38">
        <f>3042.99+8839.99</f>
        <v>11882.98</v>
      </c>
      <c r="Q72" s="187">
        <v>15.040699999999999</v>
      </c>
      <c r="R72" s="8"/>
      <c r="S72" s="23" t="b">
        <v>1</v>
      </c>
      <c r="T72" s="23" t="s">
        <v>50</v>
      </c>
      <c r="U72" s="23" t="b">
        <v>1</v>
      </c>
      <c r="V72" s="23" t="b">
        <v>1</v>
      </c>
      <c r="W72" s="23" t="s">
        <v>50</v>
      </c>
      <c r="X72" s="23" t="s">
        <v>50</v>
      </c>
      <c r="Z72" s="23" t="s">
        <v>50</v>
      </c>
      <c r="AB72" s="66" t="s">
        <v>390</v>
      </c>
      <c r="AC72" s="2" t="s">
        <v>77</v>
      </c>
      <c r="AD72" s="2"/>
      <c r="AE72" s="2"/>
      <c r="AF72" s="2"/>
      <c r="AG72" s="2"/>
      <c r="AH72" s="2"/>
      <c r="AI72" s="2"/>
      <c r="AJ72" s="2"/>
      <c r="AK72" s="2"/>
      <c r="AL72" s="2"/>
      <c r="AM72" s="2"/>
      <c r="AN72" s="2"/>
      <c r="AO72" s="2"/>
      <c r="AP72" s="2"/>
      <c r="AQ72" s="44" t="s">
        <v>391</v>
      </c>
      <c r="AR72" t="s">
        <v>392</v>
      </c>
      <c r="AT72" s="46">
        <v>8038.56</v>
      </c>
      <c r="AU72" s="46">
        <v>21670.560000000001</v>
      </c>
    </row>
    <row r="73" spans="1:47" ht="14.25" customHeight="1">
      <c r="A73" s="27" t="s">
        <v>62</v>
      </c>
      <c r="B73" s="87" t="s">
        <v>393</v>
      </c>
      <c r="C73" s="97" t="s">
        <v>49</v>
      </c>
      <c r="D73" s="11"/>
      <c r="E73" s="11"/>
      <c r="F73" s="11"/>
      <c r="G73" s="11"/>
      <c r="H73" s="11" t="b">
        <v>1</v>
      </c>
      <c r="I73" s="11"/>
      <c r="J73" s="11"/>
      <c r="K73" s="11"/>
      <c r="L73" s="11"/>
      <c r="M73" s="200" t="s">
        <v>287</v>
      </c>
      <c r="Q73" s="187"/>
      <c r="R73" s="8"/>
      <c r="S73" s="23" t="s">
        <v>50</v>
      </c>
      <c r="T73" s="23" t="s">
        <v>50</v>
      </c>
      <c r="U73" s="23" t="s">
        <v>50</v>
      </c>
      <c r="V73" s="23" t="s">
        <v>50</v>
      </c>
      <c r="W73" s="23" t="b">
        <v>1</v>
      </c>
      <c r="X73" s="23" t="s">
        <v>50</v>
      </c>
      <c r="Z73" s="23" t="s">
        <v>50</v>
      </c>
      <c r="AB73" s="66" t="s">
        <v>394</v>
      </c>
      <c r="AC73" s="2" t="s">
        <v>66</v>
      </c>
      <c r="AD73" s="2"/>
      <c r="AE73" s="2"/>
      <c r="AF73" s="2"/>
      <c r="AG73" s="2"/>
      <c r="AH73" s="2"/>
      <c r="AI73" s="2"/>
      <c r="AJ73" s="2"/>
      <c r="AK73" s="2"/>
      <c r="AL73" s="2"/>
      <c r="AM73" s="2"/>
      <c r="AN73" s="2"/>
      <c r="AO73" s="2"/>
      <c r="AP73" s="2"/>
      <c r="AQ73" s="235" t="s">
        <v>395</v>
      </c>
      <c r="AR73" t="s">
        <v>396</v>
      </c>
      <c r="AT73" s="46">
        <v>150</v>
      </c>
      <c r="AU73" s="46">
        <v>150</v>
      </c>
    </row>
    <row r="74" spans="1:47" ht="14.25" customHeight="1">
      <c r="A74" s="105" t="s">
        <v>397</v>
      </c>
      <c r="B74" s="106" t="s">
        <v>398</v>
      </c>
      <c r="C74" s="107" t="s">
        <v>49</v>
      </c>
      <c r="D74" s="11"/>
      <c r="E74" s="11"/>
      <c r="F74" s="11"/>
      <c r="G74" s="11"/>
      <c r="H74" s="11" t="b">
        <v>1</v>
      </c>
      <c r="I74" s="11"/>
      <c r="J74" s="11"/>
      <c r="K74" s="11"/>
      <c r="L74" s="11"/>
      <c r="M74" s="16"/>
      <c r="Q74" s="187">
        <v>51.080100000000002</v>
      </c>
      <c r="R74" s="8"/>
      <c r="T74" s="23" t="s">
        <v>50</v>
      </c>
      <c r="W74" s="23" t="b">
        <v>1</v>
      </c>
      <c r="X74" s="23" t="s">
        <v>50</v>
      </c>
      <c r="Z74" s="23" t="s">
        <v>50</v>
      </c>
      <c r="AB74" s="66" t="s">
        <v>399</v>
      </c>
      <c r="AC74" s="2" t="s">
        <v>66</v>
      </c>
      <c r="AD74" s="2"/>
      <c r="AE74" s="2"/>
      <c r="AF74" s="2"/>
      <c r="AG74" s="2"/>
      <c r="AH74" s="2"/>
      <c r="AI74" s="2"/>
      <c r="AJ74" s="2"/>
      <c r="AK74" s="2"/>
      <c r="AL74" s="2"/>
      <c r="AM74" s="2"/>
      <c r="AN74" s="2"/>
      <c r="AO74" s="2"/>
      <c r="AP74" s="2"/>
      <c r="AQ74" s="44" t="s">
        <v>400</v>
      </c>
      <c r="AR74" t="s">
        <v>401</v>
      </c>
      <c r="AT74" s="46">
        <v>8006.87</v>
      </c>
      <c r="AU74" s="46">
        <v>21254.87</v>
      </c>
    </row>
    <row r="75" spans="1:47" ht="14.25" customHeight="1">
      <c r="A75" s="27"/>
      <c r="B75" s="87" t="s">
        <v>402</v>
      </c>
      <c r="C75" s="107" t="s">
        <v>49</v>
      </c>
      <c r="D75" s="11"/>
      <c r="E75" s="11"/>
      <c r="F75" s="11"/>
      <c r="G75" s="11"/>
      <c r="H75" s="11" t="b">
        <v>1</v>
      </c>
      <c r="I75" s="11"/>
      <c r="J75" s="11"/>
      <c r="K75" s="11"/>
      <c r="L75" s="11"/>
      <c r="M75" s="16"/>
      <c r="Q75" s="187"/>
      <c r="R75" s="8"/>
      <c r="W75" s="23" t="b">
        <v>1</v>
      </c>
      <c r="AB75" s="66"/>
      <c r="AC75" s="2"/>
      <c r="AD75" s="2"/>
      <c r="AE75" s="2"/>
      <c r="AF75" s="2"/>
      <c r="AG75" s="2"/>
      <c r="AH75" s="2"/>
      <c r="AI75" s="2"/>
      <c r="AJ75" s="2"/>
      <c r="AK75" s="2"/>
      <c r="AL75" s="2"/>
      <c r="AM75" s="2"/>
      <c r="AN75" s="2"/>
      <c r="AO75" s="2"/>
      <c r="AP75" s="2"/>
      <c r="AQ75" s="238" t="s">
        <v>403</v>
      </c>
      <c r="AR75" t="s">
        <v>404</v>
      </c>
      <c r="AT75" s="46">
        <v>983</v>
      </c>
      <c r="AU75" s="46">
        <v>983</v>
      </c>
    </row>
    <row r="76" spans="1:47" ht="14.25" customHeight="1">
      <c r="A76" s="95" t="s">
        <v>405</v>
      </c>
      <c r="B76" s="94" t="s">
        <v>406</v>
      </c>
      <c r="C76" s="97" t="s">
        <v>70</v>
      </c>
      <c r="D76" s="11"/>
      <c r="E76" s="11"/>
      <c r="F76" s="11"/>
      <c r="G76" s="11"/>
      <c r="H76" s="11" t="b">
        <v>1</v>
      </c>
      <c r="I76" s="11"/>
      <c r="J76" s="11"/>
      <c r="K76" s="11"/>
      <c r="L76" s="11"/>
      <c r="M76" s="200" t="s">
        <v>140</v>
      </c>
      <c r="N76" s="38">
        <f>1225.25+3787.25</f>
        <v>5012.5</v>
      </c>
      <c r="Q76" s="187">
        <v>51.070700000000002</v>
      </c>
      <c r="R76" s="8" t="b">
        <v>1</v>
      </c>
      <c r="T76" s="23" t="s">
        <v>50</v>
      </c>
      <c r="U76" s="23" t="s">
        <v>50</v>
      </c>
      <c r="V76" s="23" t="s">
        <v>50</v>
      </c>
      <c r="W76" s="23" t="b">
        <v>1</v>
      </c>
      <c r="X76" s="23" t="s">
        <v>50</v>
      </c>
      <c r="Z76" s="23" t="s">
        <v>50</v>
      </c>
      <c r="AB76" s="66" t="s">
        <v>407</v>
      </c>
      <c r="AC76" s="2" t="s">
        <v>66</v>
      </c>
      <c r="AD76" s="2"/>
      <c r="AE76" s="2"/>
      <c r="AF76" s="2"/>
      <c r="AG76" s="2"/>
      <c r="AH76" s="2"/>
      <c r="AI76" s="2"/>
      <c r="AJ76" s="2"/>
      <c r="AK76" s="2"/>
      <c r="AL76" s="2"/>
      <c r="AM76" s="2"/>
      <c r="AN76" s="2"/>
      <c r="AO76" s="2"/>
      <c r="AP76" s="2"/>
      <c r="AQ76" s="77" t="s">
        <v>408</v>
      </c>
      <c r="AR76" t="s">
        <v>409</v>
      </c>
      <c r="AT76" s="46">
        <v>3647.06</v>
      </c>
      <c r="AU76" s="46">
        <v>9791.06</v>
      </c>
    </row>
    <row r="77" spans="1:47" ht="14.25" customHeight="1">
      <c r="A77" s="95"/>
      <c r="B77" s="242" t="s">
        <v>410</v>
      </c>
      <c r="C77" s="97"/>
      <c r="D77" s="11" t="b">
        <v>1</v>
      </c>
      <c r="E77" s="11"/>
      <c r="F77" s="11"/>
      <c r="G77" s="11"/>
      <c r="H77" s="11" t="b">
        <v>1</v>
      </c>
      <c r="I77" s="11"/>
      <c r="J77" s="11"/>
      <c r="K77" s="11"/>
      <c r="L77" s="11"/>
      <c r="M77" s="200"/>
      <c r="Q77" s="187"/>
      <c r="R77" s="8"/>
      <c r="W77" s="23" t="b">
        <v>1</v>
      </c>
      <c r="AB77" s="66"/>
      <c r="AC77" s="2"/>
      <c r="AD77" s="2"/>
      <c r="AE77" s="2"/>
      <c r="AF77" s="2"/>
      <c r="AG77" s="2"/>
      <c r="AH77" s="2"/>
      <c r="AI77" s="2"/>
      <c r="AJ77" s="2"/>
      <c r="AK77" s="2"/>
      <c r="AL77" s="2"/>
      <c r="AM77" s="2"/>
      <c r="AN77" s="2"/>
      <c r="AO77" s="2"/>
      <c r="AP77" s="2"/>
      <c r="AQ77" s="241" t="s">
        <v>411</v>
      </c>
      <c r="AR77" t="s">
        <v>409</v>
      </c>
      <c r="AT77" s="46">
        <v>180</v>
      </c>
      <c r="AU77" s="46">
        <v>180</v>
      </c>
    </row>
    <row r="78" spans="1:47" ht="14.25" customHeight="1">
      <c r="A78" s="27" t="s">
        <v>62</v>
      </c>
      <c r="B78" s="87" t="s">
        <v>412</v>
      </c>
      <c r="C78" s="97" t="s">
        <v>49</v>
      </c>
      <c r="D78" s="11" t="b">
        <v>1</v>
      </c>
      <c r="E78" s="11"/>
      <c r="F78" s="11"/>
      <c r="G78" s="11"/>
      <c r="H78" s="11"/>
      <c r="I78" s="11"/>
      <c r="J78" s="11"/>
      <c r="K78" s="11"/>
      <c r="L78" s="11"/>
      <c r="M78" s="200" t="s">
        <v>140</v>
      </c>
      <c r="Q78" s="187"/>
      <c r="R78" s="8" t="b">
        <v>1</v>
      </c>
      <c r="S78" s="23" t="s">
        <v>50</v>
      </c>
      <c r="T78" s="23" t="s">
        <v>50</v>
      </c>
      <c r="U78" s="23" t="s">
        <v>50</v>
      </c>
      <c r="V78" s="23" t="s">
        <v>50</v>
      </c>
      <c r="W78" s="23" t="b">
        <v>1</v>
      </c>
      <c r="X78" s="23" t="s">
        <v>50</v>
      </c>
      <c r="Z78" s="23" t="s">
        <v>50</v>
      </c>
      <c r="AB78" s="66" t="s">
        <v>413</v>
      </c>
      <c r="AC78" s="2" t="s">
        <v>66</v>
      </c>
      <c r="AD78" s="2"/>
      <c r="AE78" s="2"/>
      <c r="AF78" s="2"/>
      <c r="AG78" s="2"/>
      <c r="AH78" s="2"/>
      <c r="AI78" s="2"/>
      <c r="AJ78" s="2"/>
      <c r="AK78" s="2"/>
      <c r="AL78" s="2"/>
      <c r="AM78" s="2"/>
      <c r="AN78" s="2"/>
      <c r="AO78" s="2"/>
      <c r="AP78" s="2"/>
      <c r="AQ78" s="20" t="s">
        <v>414</v>
      </c>
      <c r="AR78" t="s">
        <v>415</v>
      </c>
      <c r="AT78" s="46">
        <v>180</v>
      </c>
      <c r="AU78" s="46">
        <v>180</v>
      </c>
    </row>
    <row r="79" spans="1:47" ht="14.25" customHeight="1">
      <c r="A79" s="27" t="s">
        <v>62</v>
      </c>
      <c r="B79" s="89" t="s">
        <v>416</v>
      </c>
      <c r="C79" s="97" t="s">
        <v>70</v>
      </c>
      <c r="D79" s="11"/>
      <c r="E79" s="11"/>
      <c r="F79" s="11"/>
      <c r="G79" s="11" t="b">
        <v>1</v>
      </c>
      <c r="H79" s="11"/>
      <c r="I79" s="11"/>
      <c r="J79" s="11"/>
      <c r="K79" s="11"/>
      <c r="L79" s="11"/>
      <c r="M79" s="200" t="s">
        <v>140</v>
      </c>
      <c r="Q79" s="187"/>
      <c r="R79" s="8"/>
      <c r="S79" s="23" t="s">
        <v>50</v>
      </c>
      <c r="T79" s="23" t="s">
        <v>50</v>
      </c>
      <c r="U79" s="23" t="s">
        <v>50</v>
      </c>
      <c r="V79" s="23" t="s">
        <v>50</v>
      </c>
      <c r="W79" s="23" t="b">
        <v>1</v>
      </c>
      <c r="X79" s="23" t="s">
        <v>50</v>
      </c>
      <c r="Z79" s="23" t="s">
        <v>50</v>
      </c>
      <c r="AB79" s="66"/>
      <c r="AC79" s="2" t="s">
        <v>66</v>
      </c>
      <c r="AD79" s="2"/>
      <c r="AE79" s="2"/>
      <c r="AF79" s="2"/>
      <c r="AG79" s="2"/>
      <c r="AH79" s="2"/>
      <c r="AI79" s="2"/>
      <c r="AJ79" s="2"/>
      <c r="AK79" s="2"/>
      <c r="AL79" s="2"/>
      <c r="AM79" s="2"/>
      <c r="AN79" s="2"/>
      <c r="AO79" s="2"/>
      <c r="AP79" s="2"/>
      <c r="AQ79" s="20" t="s">
        <v>417</v>
      </c>
      <c r="AR79" t="s">
        <v>418</v>
      </c>
      <c r="AT79" s="46"/>
      <c r="AU79" s="46"/>
    </row>
    <row r="80" spans="1:47" ht="14.25" customHeight="1">
      <c r="A80" s="27" t="s">
        <v>62</v>
      </c>
      <c r="B80" s="87" t="s">
        <v>419</v>
      </c>
      <c r="C80" s="97" t="s">
        <v>70</v>
      </c>
      <c r="D80" s="11"/>
      <c r="E80" s="11"/>
      <c r="F80" s="11"/>
      <c r="G80" s="11" t="b">
        <v>1</v>
      </c>
      <c r="H80" s="11"/>
      <c r="I80" s="11"/>
      <c r="J80" s="11"/>
      <c r="K80" s="11"/>
      <c r="L80" s="11"/>
      <c r="M80" s="200" t="s">
        <v>140</v>
      </c>
      <c r="Q80" s="187"/>
      <c r="R80" s="8"/>
      <c r="S80" s="23" t="s">
        <v>50</v>
      </c>
      <c r="T80" s="23" t="s">
        <v>50</v>
      </c>
      <c r="U80" s="23" t="s">
        <v>50</v>
      </c>
      <c r="V80" s="23" t="s">
        <v>50</v>
      </c>
      <c r="W80" s="23" t="b">
        <v>1</v>
      </c>
      <c r="X80" s="23" t="s">
        <v>50</v>
      </c>
      <c r="Z80" s="23" t="s">
        <v>50</v>
      </c>
      <c r="AB80" s="66" t="s">
        <v>420</v>
      </c>
      <c r="AC80" s="2" t="s">
        <v>66</v>
      </c>
      <c r="AD80" s="2"/>
      <c r="AE80" s="2"/>
      <c r="AF80" s="2"/>
      <c r="AG80" s="2"/>
      <c r="AH80" s="2"/>
      <c r="AI80" s="2"/>
      <c r="AJ80" s="2"/>
      <c r="AK80" s="2"/>
      <c r="AL80" s="2"/>
      <c r="AM80" s="2"/>
      <c r="AN80" s="2"/>
      <c r="AO80" s="2"/>
      <c r="AP80" s="2"/>
      <c r="AQ80" s="20" t="s">
        <v>421</v>
      </c>
      <c r="AR80" t="s">
        <v>422</v>
      </c>
      <c r="AT80" s="46">
        <v>180</v>
      </c>
      <c r="AU80" s="46">
        <v>180</v>
      </c>
    </row>
    <row r="81" spans="1:47" ht="14.25" customHeight="1">
      <c r="A81" s="27" t="s">
        <v>62</v>
      </c>
      <c r="B81" s="87" t="s">
        <v>423</v>
      </c>
      <c r="C81" s="97" t="s">
        <v>49</v>
      </c>
      <c r="D81" s="11"/>
      <c r="E81" s="11"/>
      <c r="F81" s="11"/>
      <c r="G81" s="11" t="b">
        <v>1</v>
      </c>
      <c r="H81" s="11"/>
      <c r="I81" s="11"/>
      <c r="J81" s="11"/>
      <c r="K81" s="11"/>
      <c r="L81" s="11"/>
      <c r="M81" s="200" t="s">
        <v>140</v>
      </c>
      <c r="Q81" s="187"/>
      <c r="R81" s="8"/>
      <c r="S81" s="23" t="s">
        <v>50</v>
      </c>
      <c r="T81" s="23" t="s">
        <v>50</v>
      </c>
      <c r="U81" s="23" t="s">
        <v>50</v>
      </c>
      <c r="V81" s="23" t="s">
        <v>50</v>
      </c>
      <c r="W81" s="23" t="b">
        <v>1</v>
      </c>
      <c r="X81" s="23" t="s">
        <v>50</v>
      </c>
      <c r="Z81" s="23" t="s">
        <v>50</v>
      </c>
      <c r="AB81" s="66" t="s">
        <v>424</v>
      </c>
      <c r="AC81" s="2" t="s">
        <v>66</v>
      </c>
      <c r="AD81" s="2"/>
      <c r="AE81" s="2"/>
      <c r="AF81" s="2"/>
      <c r="AG81" s="2"/>
      <c r="AH81" s="2"/>
      <c r="AI81" s="2"/>
      <c r="AJ81" s="2"/>
      <c r="AK81" s="2"/>
      <c r="AL81" s="2"/>
      <c r="AM81" s="2"/>
      <c r="AN81" s="2"/>
      <c r="AO81" s="2"/>
      <c r="AP81" s="2"/>
      <c r="AQ81" s="20" t="s">
        <v>425</v>
      </c>
      <c r="AR81" t="s">
        <v>426</v>
      </c>
      <c r="AT81" s="46">
        <v>180</v>
      </c>
      <c r="AU81" s="46">
        <v>180</v>
      </c>
    </row>
    <row r="82" spans="1:47" ht="14.25" customHeight="1">
      <c r="A82" s="27" t="s">
        <v>62</v>
      </c>
      <c r="B82" s="87" t="s">
        <v>427</v>
      </c>
      <c r="C82" s="97" t="s">
        <v>70</v>
      </c>
      <c r="D82" s="11"/>
      <c r="E82" s="11"/>
      <c r="F82" s="11"/>
      <c r="G82" s="11" t="b">
        <v>1</v>
      </c>
      <c r="H82" s="11"/>
      <c r="I82" s="11"/>
      <c r="J82" s="11"/>
      <c r="K82" s="11"/>
      <c r="L82" s="11"/>
      <c r="M82" s="200" t="s">
        <v>140</v>
      </c>
      <c r="Q82" s="187"/>
      <c r="R82" s="8"/>
      <c r="S82" s="23" t="s">
        <v>50</v>
      </c>
      <c r="T82" s="23" t="s">
        <v>50</v>
      </c>
      <c r="U82" s="23" t="s">
        <v>50</v>
      </c>
      <c r="V82" s="23" t="s">
        <v>50</v>
      </c>
      <c r="W82" s="23" t="b">
        <v>1</v>
      </c>
      <c r="X82" s="23" t="s">
        <v>50</v>
      </c>
      <c r="Z82" s="23" t="s">
        <v>50</v>
      </c>
      <c r="AB82" s="66" t="s">
        <v>428</v>
      </c>
      <c r="AC82" s="2" t="s">
        <v>66</v>
      </c>
      <c r="AD82" s="2"/>
      <c r="AE82" s="2"/>
      <c r="AF82" s="2"/>
      <c r="AG82" s="2"/>
      <c r="AH82" s="2"/>
      <c r="AI82" s="2"/>
      <c r="AJ82" s="2"/>
      <c r="AK82" s="2"/>
      <c r="AL82" s="2"/>
      <c r="AM82" s="2"/>
      <c r="AN82" s="2"/>
      <c r="AO82" s="2"/>
      <c r="AP82" s="2"/>
      <c r="AQ82" s="20" t="s">
        <v>429</v>
      </c>
      <c r="AR82" t="s">
        <v>430</v>
      </c>
      <c r="AT82" s="46">
        <v>400</v>
      </c>
      <c r="AU82" s="46">
        <v>400</v>
      </c>
    </row>
    <row r="83" spans="1:47" ht="14.25" customHeight="1">
      <c r="A83" s="27" t="s">
        <v>62</v>
      </c>
      <c r="B83" s="87" t="s">
        <v>431</v>
      </c>
      <c r="C83" s="97" t="s">
        <v>49</v>
      </c>
      <c r="D83" s="11" t="b">
        <v>1</v>
      </c>
      <c r="E83" s="11"/>
      <c r="F83" s="11"/>
      <c r="G83" s="11"/>
      <c r="H83" s="11"/>
      <c r="I83" s="11"/>
      <c r="J83" s="11"/>
      <c r="K83" s="11"/>
      <c r="L83" s="11" t="b">
        <v>1</v>
      </c>
      <c r="M83" s="200" t="s">
        <v>287</v>
      </c>
      <c r="Q83" s="187"/>
      <c r="R83" s="8"/>
      <c r="S83" s="23" t="s">
        <v>50</v>
      </c>
      <c r="T83" s="23" t="s">
        <v>50</v>
      </c>
      <c r="U83" s="23" t="s">
        <v>50</v>
      </c>
      <c r="V83" s="23" t="s">
        <v>50</v>
      </c>
      <c r="W83" s="23" t="b">
        <v>1</v>
      </c>
      <c r="X83" s="23" t="s">
        <v>50</v>
      </c>
      <c r="Z83" s="23" t="s">
        <v>50</v>
      </c>
      <c r="AB83" s="66" t="s">
        <v>432</v>
      </c>
      <c r="AC83" s="2" t="s">
        <v>66</v>
      </c>
      <c r="AD83" s="2"/>
      <c r="AE83" s="2"/>
      <c r="AF83" s="2"/>
      <c r="AG83" s="2"/>
      <c r="AH83" s="2"/>
      <c r="AI83" s="2"/>
      <c r="AJ83" s="2"/>
      <c r="AK83" s="2"/>
      <c r="AL83" s="2"/>
      <c r="AM83" s="2"/>
      <c r="AN83" s="2"/>
      <c r="AO83" s="2"/>
      <c r="AP83" s="2"/>
      <c r="AQ83" s="20" t="s">
        <v>433</v>
      </c>
      <c r="AR83" t="s">
        <v>434</v>
      </c>
      <c r="AT83" s="46">
        <v>95</v>
      </c>
      <c r="AU83" s="46">
        <v>95</v>
      </c>
    </row>
    <row r="84" spans="1:47" ht="14.25" customHeight="1">
      <c r="A84" s="105"/>
      <c r="B84" s="106" t="s">
        <v>435</v>
      </c>
      <c r="C84" s="107" t="s">
        <v>49</v>
      </c>
      <c r="D84" s="11"/>
      <c r="E84" s="11"/>
      <c r="F84" s="11"/>
      <c r="G84" s="11"/>
      <c r="H84" s="11" t="b">
        <v>1</v>
      </c>
      <c r="I84" s="11"/>
      <c r="J84" s="11"/>
      <c r="K84" s="11"/>
      <c r="L84" s="11"/>
      <c r="M84" s="200" t="s">
        <v>140</v>
      </c>
      <c r="Q84" s="187">
        <v>51.3902</v>
      </c>
      <c r="R84" s="8"/>
      <c r="S84" s="23" t="s">
        <v>50</v>
      </c>
      <c r="W84" s="23" t="b">
        <v>1</v>
      </c>
      <c r="X84" s="23" t="s">
        <v>50</v>
      </c>
      <c r="Z84" s="23" t="s">
        <v>50</v>
      </c>
      <c r="AB84" s="66" t="s">
        <v>436</v>
      </c>
      <c r="AC84" s="2" t="s">
        <v>66</v>
      </c>
      <c r="AD84" s="2"/>
      <c r="AE84" s="2"/>
      <c r="AF84" s="2"/>
      <c r="AG84" s="2"/>
      <c r="AH84" s="2"/>
      <c r="AI84" s="2"/>
      <c r="AJ84" s="2"/>
      <c r="AK84" s="2"/>
      <c r="AL84" s="2"/>
      <c r="AM84" s="2"/>
      <c r="AN84" s="2"/>
      <c r="AO84" s="2"/>
      <c r="AP84" s="2"/>
      <c r="AQ84" s="234" t="s">
        <v>437</v>
      </c>
      <c r="AR84" t="s">
        <v>438</v>
      </c>
      <c r="AT84" s="46">
        <v>450</v>
      </c>
      <c r="AU84" s="46">
        <v>450</v>
      </c>
    </row>
    <row r="85" spans="1:47" ht="14.25" customHeight="1">
      <c r="A85" s="105"/>
      <c r="B85" s="106" t="s">
        <v>439</v>
      </c>
      <c r="C85" s="107" t="s">
        <v>49</v>
      </c>
      <c r="D85" s="11"/>
      <c r="E85" s="11"/>
      <c r="F85" s="11"/>
      <c r="G85" s="11"/>
      <c r="H85" s="11" t="b">
        <v>1</v>
      </c>
      <c r="I85" s="11"/>
      <c r="J85" s="11"/>
      <c r="K85" s="11"/>
      <c r="L85" s="11"/>
      <c r="M85" s="200" t="s">
        <v>140</v>
      </c>
      <c r="Q85" s="187">
        <v>51.3902</v>
      </c>
      <c r="R85" s="8"/>
      <c r="W85" s="23" t="b">
        <v>1</v>
      </c>
      <c r="AB85" s="66" t="s">
        <v>436</v>
      </c>
      <c r="AC85" s="2" t="s">
        <v>66</v>
      </c>
      <c r="AD85" s="2"/>
      <c r="AE85" s="2"/>
      <c r="AF85" s="2"/>
      <c r="AG85" s="2"/>
      <c r="AH85" s="2"/>
      <c r="AI85" s="2"/>
      <c r="AJ85" s="2"/>
      <c r="AK85" s="2"/>
      <c r="AL85" s="2"/>
      <c r="AM85" s="2"/>
      <c r="AN85" s="2"/>
      <c r="AO85" s="2"/>
      <c r="AP85" s="2"/>
      <c r="AQ85" s="241" t="s">
        <v>440</v>
      </c>
      <c r="AR85" t="s">
        <v>441</v>
      </c>
      <c r="AT85" s="46">
        <v>530</v>
      </c>
      <c r="AU85" s="46">
        <v>530</v>
      </c>
    </row>
    <row r="86" spans="1:47" ht="14.25" customHeight="1">
      <c r="A86" s="27" t="s">
        <v>62</v>
      </c>
      <c r="B86" s="87" t="s">
        <v>442</v>
      </c>
      <c r="C86" s="97" t="s">
        <v>49</v>
      </c>
      <c r="D86" s="11"/>
      <c r="E86" s="11"/>
      <c r="F86" s="11"/>
      <c r="G86" s="11"/>
      <c r="H86" s="11" t="b">
        <v>1</v>
      </c>
      <c r="I86" s="11"/>
      <c r="J86" s="11"/>
      <c r="K86" s="11"/>
      <c r="L86" s="11"/>
      <c r="M86" s="16"/>
      <c r="Q86" s="187">
        <v>53.3902</v>
      </c>
      <c r="R86" s="8"/>
      <c r="S86" s="23" t="s">
        <v>50</v>
      </c>
      <c r="T86" s="23" t="s">
        <v>50</v>
      </c>
      <c r="U86" s="23" t="s">
        <v>50</v>
      </c>
      <c r="V86" s="23" t="s">
        <v>50</v>
      </c>
      <c r="W86" s="23" t="b">
        <v>1</v>
      </c>
      <c r="X86" s="23" t="s">
        <v>50</v>
      </c>
      <c r="Z86" s="23" t="s">
        <v>50</v>
      </c>
      <c r="AB86" s="66" t="s">
        <v>443</v>
      </c>
      <c r="AC86" s="2" t="s">
        <v>66</v>
      </c>
      <c r="AD86" s="2"/>
      <c r="AE86" s="2"/>
      <c r="AF86" s="2"/>
      <c r="AG86" s="2"/>
      <c r="AH86" s="2"/>
      <c r="AI86" s="2"/>
      <c r="AJ86" s="2"/>
      <c r="AK86" s="2"/>
      <c r="AL86" s="2"/>
      <c r="AM86" s="2"/>
      <c r="AN86" s="2"/>
      <c r="AO86" s="2"/>
      <c r="AP86" s="2"/>
      <c r="AQ86" s="20" t="s">
        <v>444</v>
      </c>
      <c r="AR86" t="s">
        <v>445</v>
      </c>
      <c r="AT86" s="46"/>
      <c r="AU86" s="46"/>
    </row>
    <row r="87" spans="1:47" ht="14.25" customHeight="1">
      <c r="A87" s="105" t="s">
        <v>446</v>
      </c>
      <c r="B87" s="106" t="s">
        <v>447</v>
      </c>
      <c r="C87" s="107" t="s">
        <v>70</v>
      </c>
      <c r="D87" s="11"/>
      <c r="E87" s="11"/>
      <c r="F87" s="11"/>
      <c r="G87" s="11"/>
      <c r="H87" s="11"/>
      <c r="I87" s="11"/>
      <c r="J87" s="11"/>
      <c r="K87" s="11"/>
      <c r="L87" s="11"/>
      <c r="M87" s="16"/>
      <c r="N87" s="38">
        <f>3468.49+9265.49</f>
        <v>12733.98</v>
      </c>
      <c r="Q87" s="187">
        <v>52.020400000000002</v>
      </c>
      <c r="R87" s="8" t="b">
        <v>1</v>
      </c>
      <c r="S87" s="23" t="b">
        <v>1</v>
      </c>
      <c r="T87" s="23" t="s">
        <v>50</v>
      </c>
      <c r="U87" s="23" t="b">
        <v>1</v>
      </c>
      <c r="V87" s="23" t="b">
        <v>1</v>
      </c>
      <c r="W87" s="23" t="b">
        <v>1</v>
      </c>
      <c r="X87" s="23" t="s">
        <v>50</v>
      </c>
      <c r="Z87" s="23" t="s">
        <v>50</v>
      </c>
      <c r="AB87" s="66"/>
      <c r="AC87" s="2"/>
      <c r="AD87" s="2"/>
      <c r="AE87" s="2"/>
      <c r="AF87" s="2"/>
      <c r="AG87" s="2"/>
      <c r="AH87" s="2"/>
      <c r="AI87" s="2"/>
      <c r="AJ87" s="2"/>
      <c r="AK87" s="2"/>
      <c r="AL87" s="2"/>
      <c r="AM87" s="2"/>
      <c r="AN87" s="2"/>
      <c r="AO87" s="2"/>
      <c r="AP87" s="2"/>
      <c r="AQ87" s="76" t="s">
        <v>448</v>
      </c>
      <c r="AR87" t="s">
        <v>449</v>
      </c>
      <c r="AT87" s="46">
        <v>7058.75</v>
      </c>
      <c r="AU87" s="46">
        <v>19154.75</v>
      </c>
    </row>
    <row r="88" spans="1:47" ht="14.25" customHeight="1">
      <c r="A88" s="27" t="s">
        <v>62</v>
      </c>
      <c r="B88" s="87" t="s">
        <v>450</v>
      </c>
      <c r="C88" s="97" t="s">
        <v>70</v>
      </c>
      <c r="D88" s="11"/>
      <c r="E88" s="11"/>
      <c r="F88" s="11" t="b">
        <v>1</v>
      </c>
      <c r="G88" s="11"/>
      <c r="H88" s="11"/>
      <c r="I88" s="11"/>
      <c r="J88" s="11"/>
      <c r="K88" s="11"/>
      <c r="L88" s="11"/>
      <c r="M88" s="200" t="s">
        <v>196</v>
      </c>
      <c r="Q88" s="187"/>
      <c r="R88" s="8" t="b">
        <v>1</v>
      </c>
      <c r="S88" s="23" t="s">
        <v>50</v>
      </c>
      <c r="T88" s="23" t="s">
        <v>50</v>
      </c>
      <c r="U88" s="23" t="s">
        <v>50</v>
      </c>
      <c r="V88" s="23" t="s">
        <v>50</v>
      </c>
      <c r="W88" s="23" t="b">
        <v>1</v>
      </c>
      <c r="X88" s="23" t="s">
        <v>50</v>
      </c>
      <c r="Z88" s="23" t="s">
        <v>50</v>
      </c>
      <c r="AB88" s="66" t="s">
        <v>451</v>
      </c>
      <c r="AC88" s="2" t="s">
        <v>66</v>
      </c>
      <c r="AD88" s="2"/>
      <c r="AE88" s="2"/>
      <c r="AF88" s="2"/>
      <c r="AG88" s="2"/>
      <c r="AH88" s="2"/>
      <c r="AI88" s="2"/>
      <c r="AJ88" s="2"/>
      <c r="AK88" s="2"/>
      <c r="AL88" s="2"/>
      <c r="AM88" s="2"/>
      <c r="AN88" s="2"/>
      <c r="AO88" s="2"/>
      <c r="AP88" s="2"/>
      <c r="AQ88" s="20"/>
      <c r="AR88" t="s">
        <v>452</v>
      </c>
      <c r="AT88" s="46">
        <v>180</v>
      </c>
      <c r="AU88" s="46">
        <v>180</v>
      </c>
    </row>
    <row r="89" spans="1:47" ht="14.25" customHeight="1">
      <c r="A89" s="27" t="s">
        <v>62</v>
      </c>
      <c r="B89" s="87" t="s">
        <v>453</v>
      </c>
      <c r="C89" s="97" t="s">
        <v>49</v>
      </c>
      <c r="D89" s="11"/>
      <c r="E89" s="11"/>
      <c r="F89" s="11"/>
      <c r="G89" s="11" t="b">
        <v>1</v>
      </c>
      <c r="H89" s="11"/>
      <c r="I89" s="11"/>
      <c r="J89" s="11"/>
      <c r="K89" s="11"/>
      <c r="L89" s="11"/>
      <c r="M89" s="200" t="s">
        <v>287</v>
      </c>
      <c r="Q89" s="187"/>
      <c r="R89" s="8"/>
      <c r="S89" s="23" t="s">
        <v>50</v>
      </c>
      <c r="T89" s="23" t="s">
        <v>50</v>
      </c>
      <c r="U89" s="23" t="s">
        <v>50</v>
      </c>
      <c r="V89" s="23" t="s">
        <v>50</v>
      </c>
      <c r="W89" s="23" t="b">
        <v>1</v>
      </c>
      <c r="X89" s="23" t="s">
        <v>50</v>
      </c>
      <c r="Z89" s="23" t="b">
        <v>1</v>
      </c>
      <c r="AB89" s="66" t="s">
        <v>454</v>
      </c>
      <c r="AC89" s="2" t="s">
        <v>66</v>
      </c>
      <c r="AD89" s="2"/>
      <c r="AE89" s="2"/>
      <c r="AF89" s="2"/>
      <c r="AG89" s="2"/>
      <c r="AH89" s="2"/>
      <c r="AI89" s="2"/>
      <c r="AJ89" s="2"/>
      <c r="AK89" s="2"/>
      <c r="AL89" s="2"/>
      <c r="AM89" s="2"/>
      <c r="AN89" s="2"/>
      <c r="AO89" s="2"/>
      <c r="AP89" s="2"/>
      <c r="AQ89" s="20" t="s">
        <v>455</v>
      </c>
      <c r="AR89" t="s">
        <v>456</v>
      </c>
      <c r="AT89" s="46">
        <v>80</v>
      </c>
      <c r="AU89" s="46">
        <v>80</v>
      </c>
    </row>
    <row r="90" spans="1:47" ht="14.25" customHeight="1">
      <c r="A90" s="27" t="s">
        <v>62</v>
      </c>
      <c r="B90" s="87" t="s">
        <v>457</v>
      </c>
      <c r="C90" s="97" t="s">
        <v>70</v>
      </c>
      <c r="D90" s="11"/>
      <c r="E90" s="11"/>
      <c r="F90" s="11"/>
      <c r="G90" s="11" t="b">
        <v>1</v>
      </c>
      <c r="H90" s="11"/>
      <c r="I90" s="11"/>
      <c r="J90" s="11"/>
      <c r="K90" s="11"/>
      <c r="L90" s="11"/>
      <c r="M90" s="200" t="s">
        <v>458</v>
      </c>
      <c r="Q90" s="187"/>
      <c r="R90" s="8"/>
      <c r="S90" s="23" t="s">
        <v>50</v>
      </c>
      <c r="T90" s="23" t="s">
        <v>50</v>
      </c>
      <c r="U90" s="23" t="s">
        <v>50</v>
      </c>
      <c r="V90" s="23" t="s">
        <v>50</v>
      </c>
      <c r="W90" s="23" t="b">
        <v>1</v>
      </c>
      <c r="X90" s="23" t="s">
        <v>50</v>
      </c>
      <c r="Z90" s="23" t="b">
        <v>1</v>
      </c>
      <c r="AB90" s="66" t="s">
        <v>459</v>
      </c>
      <c r="AC90" s="2" t="s">
        <v>66</v>
      </c>
      <c r="AD90" s="2"/>
      <c r="AE90" s="2"/>
      <c r="AF90" s="2"/>
      <c r="AG90" s="2"/>
      <c r="AH90" s="2"/>
      <c r="AI90" s="2"/>
      <c r="AJ90" s="2"/>
      <c r="AK90" s="2"/>
      <c r="AL90" s="2"/>
      <c r="AM90" s="2"/>
      <c r="AN90" s="2"/>
      <c r="AO90" s="2"/>
      <c r="AP90" s="2"/>
      <c r="AQ90" s="19"/>
      <c r="AR90" t="s">
        <v>460</v>
      </c>
      <c r="AT90" s="46">
        <v>133</v>
      </c>
      <c r="AU90" s="46">
        <v>133</v>
      </c>
    </row>
    <row r="91" spans="1:47" ht="14.25" customHeight="1">
      <c r="A91" s="27" t="s">
        <v>62</v>
      </c>
      <c r="B91" s="87" t="s">
        <v>461</v>
      </c>
      <c r="C91" s="97" t="s">
        <v>70</v>
      </c>
      <c r="D91" s="11"/>
      <c r="E91" s="11"/>
      <c r="F91" s="11"/>
      <c r="G91" s="11" t="b">
        <v>1</v>
      </c>
      <c r="H91" s="11"/>
      <c r="I91" s="11"/>
      <c r="J91" s="11"/>
      <c r="K91" s="11"/>
      <c r="L91" s="11"/>
      <c r="M91" s="200" t="s">
        <v>458</v>
      </c>
      <c r="Q91" s="187"/>
      <c r="R91" s="8"/>
      <c r="S91" s="23" t="s">
        <v>50</v>
      </c>
      <c r="T91" s="23" t="s">
        <v>50</v>
      </c>
      <c r="U91" s="23" t="s">
        <v>50</v>
      </c>
      <c r="V91" s="23" t="s">
        <v>50</v>
      </c>
      <c r="W91" s="23" t="b">
        <v>1</v>
      </c>
      <c r="X91" s="23" t="s">
        <v>50</v>
      </c>
      <c r="Z91" s="23" t="b">
        <v>1</v>
      </c>
      <c r="AB91" s="66" t="s">
        <v>462</v>
      </c>
      <c r="AC91" s="2" t="s">
        <v>66</v>
      </c>
      <c r="AD91" s="2"/>
      <c r="AE91" s="2"/>
      <c r="AF91" s="2"/>
      <c r="AG91" s="2"/>
      <c r="AH91" s="2"/>
      <c r="AI91" s="2"/>
      <c r="AJ91" s="2"/>
      <c r="AK91" s="2"/>
      <c r="AL91" s="2"/>
      <c r="AM91" s="2"/>
      <c r="AN91" s="2"/>
      <c r="AO91" s="2"/>
      <c r="AP91" s="2"/>
      <c r="AQ91" s="20"/>
      <c r="AR91" t="s">
        <v>463</v>
      </c>
      <c r="AT91" s="46">
        <v>133</v>
      </c>
      <c r="AU91" s="46">
        <v>133</v>
      </c>
    </row>
    <row r="92" spans="1:47" ht="14.25" customHeight="1">
      <c r="A92" s="27"/>
      <c r="B92" s="88" t="s">
        <v>464</v>
      </c>
      <c r="C92" s="97" t="s">
        <v>70</v>
      </c>
      <c r="D92" s="11"/>
      <c r="E92" s="11"/>
      <c r="F92" s="11"/>
      <c r="G92" s="11"/>
      <c r="H92" s="11"/>
      <c r="I92" s="11"/>
      <c r="J92" s="11"/>
      <c r="K92" s="11"/>
      <c r="L92" s="11" t="b">
        <v>1</v>
      </c>
      <c r="M92" s="200" t="s">
        <v>458</v>
      </c>
      <c r="Q92" s="187"/>
      <c r="R92" s="8"/>
      <c r="X92" s="23" t="b">
        <v>1</v>
      </c>
      <c r="AB92" s="66" t="s">
        <v>465</v>
      </c>
      <c r="AC92" s="2"/>
      <c r="AD92" s="2"/>
      <c r="AE92" s="2"/>
      <c r="AF92" s="2"/>
      <c r="AG92" s="2"/>
      <c r="AH92" s="2"/>
      <c r="AI92" s="2"/>
      <c r="AJ92" s="2"/>
      <c r="AK92" s="2"/>
      <c r="AL92" s="2"/>
      <c r="AM92" s="2"/>
      <c r="AN92" s="2"/>
      <c r="AO92" s="2"/>
      <c r="AP92" s="2"/>
      <c r="AQ92" s="20"/>
      <c r="AR92" t="s">
        <v>466</v>
      </c>
      <c r="AT92" s="46">
        <v>40</v>
      </c>
      <c r="AU92" s="46">
        <v>40</v>
      </c>
    </row>
    <row r="93" spans="1:47" ht="14.25" customHeight="1">
      <c r="A93" s="27" t="s">
        <v>62</v>
      </c>
      <c r="B93" s="87" t="s">
        <v>467</v>
      </c>
      <c r="C93" s="97" t="s">
        <v>49</v>
      </c>
      <c r="D93" s="11"/>
      <c r="E93" s="11"/>
      <c r="F93" s="11" t="b">
        <v>1</v>
      </c>
      <c r="G93" s="11"/>
      <c r="H93" s="11" t="b">
        <v>1</v>
      </c>
      <c r="I93" s="11"/>
      <c r="J93" s="11" t="b">
        <v>1</v>
      </c>
      <c r="K93" s="11"/>
      <c r="L93" s="11"/>
      <c r="M93" s="200" t="s">
        <v>140</v>
      </c>
      <c r="Q93" s="187"/>
      <c r="R93" s="8"/>
      <c r="S93" s="23" t="s">
        <v>50</v>
      </c>
      <c r="T93" s="23" t="s">
        <v>50</v>
      </c>
      <c r="U93" s="23" t="s">
        <v>50</v>
      </c>
      <c r="V93" s="23" t="s">
        <v>50</v>
      </c>
      <c r="W93" s="23" t="b">
        <v>1</v>
      </c>
      <c r="X93" s="23" t="s">
        <v>50</v>
      </c>
      <c r="Z93" s="23" t="s">
        <v>50</v>
      </c>
      <c r="AB93" s="66" t="s">
        <v>468</v>
      </c>
      <c r="AC93" s="2" t="s">
        <v>66</v>
      </c>
      <c r="AD93" s="2"/>
      <c r="AE93" s="2"/>
      <c r="AF93" s="2"/>
      <c r="AG93" s="2"/>
      <c r="AH93" s="2"/>
      <c r="AI93" s="2"/>
      <c r="AJ93" s="2"/>
      <c r="AK93" s="2"/>
      <c r="AL93" s="2"/>
      <c r="AM93" s="2"/>
      <c r="AN93" s="2"/>
      <c r="AO93" s="2"/>
      <c r="AP93" s="2"/>
      <c r="AQ93" s="20" t="s">
        <v>469</v>
      </c>
      <c r="AR93" t="s">
        <v>470</v>
      </c>
      <c r="AT93" s="46"/>
      <c r="AU93" s="46"/>
    </row>
    <row r="94" spans="1:47" ht="14.25" customHeight="1">
      <c r="A94" s="27" t="s">
        <v>62</v>
      </c>
      <c r="B94" s="87" t="s">
        <v>471</v>
      </c>
      <c r="C94" s="97" t="s">
        <v>49</v>
      </c>
      <c r="D94" s="11"/>
      <c r="E94" s="11"/>
      <c r="F94" s="11" t="b">
        <v>1</v>
      </c>
      <c r="G94" s="11"/>
      <c r="H94" s="11" t="b">
        <v>1</v>
      </c>
      <c r="I94" s="11"/>
      <c r="J94" s="11"/>
      <c r="K94" s="11"/>
      <c r="L94" s="11"/>
      <c r="M94" s="200" t="s">
        <v>196</v>
      </c>
      <c r="Q94" s="187"/>
      <c r="R94" s="8"/>
      <c r="S94" s="23" t="s">
        <v>50</v>
      </c>
      <c r="T94" s="23" t="s">
        <v>50</v>
      </c>
      <c r="U94" s="23" t="s">
        <v>50</v>
      </c>
      <c r="V94" s="23" t="s">
        <v>50</v>
      </c>
      <c r="W94" s="23" t="b">
        <v>1</v>
      </c>
      <c r="X94" s="23" t="s">
        <v>50</v>
      </c>
      <c r="Z94" s="23" t="s">
        <v>50</v>
      </c>
      <c r="AB94" s="66" t="s">
        <v>472</v>
      </c>
      <c r="AC94" s="2" t="s">
        <v>66</v>
      </c>
      <c r="AD94" s="2"/>
      <c r="AE94" s="2"/>
      <c r="AF94" s="2"/>
      <c r="AG94" s="2"/>
      <c r="AH94" s="2"/>
      <c r="AI94" s="2"/>
      <c r="AJ94" s="2"/>
      <c r="AK94" s="2"/>
      <c r="AL94" s="2"/>
      <c r="AM94" s="2"/>
      <c r="AN94" s="2"/>
      <c r="AO94" s="2"/>
      <c r="AP94" s="2"/>
      <c r="AQ94" s="20" t="s">
        <v>473</v>
      </c>
      <c r="AR94" t="s">
        <v>273</v>
      </c>
      <c r="AT94" s="46">
        <v>155</v>
      </c>
      <c r="AU94" s="46">
        <v>155</v>
      </c>
    </row>
    <row r="95" spans="1:47" ht="14.25" customHeight="1">
      <c r="A95" s="27" t="s">
        <v>62</v>
      </c>
      <c r="B95" s="87" t="s">
        <v>474</v>
      </c>
      <c r="C95" s="97" t="s">
        <v>49</v>
      </c>
      <c r="D95" s="11"/>
      <c r="E95" s="11"/>
      <c r="F95" s="11"/>
      <c r="G95" s="11"/>
      <c r="H95" s="11" t="b">
        <v>1</v>
      </c>
      <c r="I95" s="11"/>
      <c r="J95" s="11"/>
      <c r="K95" s="11"/>
      <c r="L95" s="11"/>
      <c r="M95" s="16"/>
      <c r="Q95" s="187"/>
      <c r="R95" s="8"/>
      <c r="S95" s="23" t="s">
        <v>50</v>
      </c>
      <c r="T95" s="23" t="s">
        <v>50</v>
      </c>
      <c r="U95" s="23" t="s">
        <v>50</v>
      </c>
      <c r="V95" s="23" t="s">
        <v>50</v>
      </c>
      <c r="W95" s="23" t="b">
        <v>1</v>
      </c>
      <c r="X95" s="23" t="s">
        <v>50</v>
      </c>
      <c r="Z95" s="23" t="s">
        <v>50</v>
      </c>
      <c r="AB95" s="66" t="s">
        <v>475</v>
      </c>
      <c r="AC95" s="2" t="s">
        <v>66</v>
      </c>
      <c r="AD95" s="2"/>
      <c r="AE95" s="2"/>
      <c r="AF95" s="2"/>
      <c r="AG95" s="2"/>
      <c r="AH95" s="2"/>
      <c r="AI95" s="2"/>
      <c r="AJ95" s="2"/>
      <c r="AK95" s="2"/>
      <c r="AL95" s="2"/>
      <c r="AM95" s="2"/>
      <c r="AN95" s="2"/>
      <c r="AO95" s="2"/>
      <c r="AP95" s="2"/>
      <c r="AQ95" s="20" t="s">
        <v>476</v>
      </c>
      <c r="AR95" t="s">
        <v>138</v>
      </c>
      <c r="AT95" s="46"/>
      <c r="AU95" s="46"/>
    </row>
    <row r="96" spans="1:47" ht="14.25" customHeight="1">
      <c r="A96" s="27" t="s">
        <v>62</v>
      </c>
      <c r="B96" s="87" t="s">
        <v>477</v>
      </c>
      <c r="C96" s="97" t="s">
        <v>49</v>
      </c>
      <c r="D96" s="11"/>
      <c r="E96" s="11"/>
      <c r="F96" s="11"/>
      <c r="G96" s="11"/>
      <c r="H96" s="11" t="b">
        <v>1</v>
      </c>
      <c r="I96" s="11"/>
      <c r="J96" s="11"/>
      <c r="K96" s="11"/>
      <c r="L96" s="11"/>
      <c r="M96" s="16"/>
      <c r="Q96" s="187"/>
      <c r="R96" s="8"/>
      <c r="S96" s="23" t="s">
        <v>50</v>
      </c>
      <c r="T96" s="23" t="s">
        <v>50</v>
      </c>
      <c r="U96" s="23" t="s">
        <v>50</v>
      </c>
      <c r="V96" s="23" t="s">
        <v>50</v>
      </c>
      <c r="W96" s="23" t="b">
        <v>1</v>
      </c>
      <c r="X96" s="23" t="s">
        <v>50</v>
      </c>
      <c r="Z96" s="23" t="s">
        <v>50</v>
      </c>
      <c r="AB96" s="66" t="s">
        <v>478</v>
      </c>
      <c r="AC96" s="2" t="s">
        <v>66</v>
      </c>
      <c r="AD96" s="2"/>
      <c r="AE96" s="2"/>
      <c r="AF96" s="2"/>
      <c r="AG96" s="2"/>
      <c r="AH96" s="2"/>
      <c r="AI96" s="2"/>
      <c r="AJ96" s="2"/>
      <c r="AK96" s="2"/>
      <c r="AL96" s="2"/>
      <c r="AM96" s="2"/>
      <c r="AN96" s="2"/>
      <c r="AO96" s="2"/>
      <c r="AP96" s="2"/>
      <c r="AQ96" s="20" t="s">
        <v>479</v>
      </c>
      <c r="AR96" t="s">
        <v>480</v>
      </c>
      <c r="AT96" s="46">
        <v>473</v>
      </c>
      <c r="AU96" s="46">
        <v>473</v>
      </c>
    </row>
    <row r="97" spans="1:47" ht="14.25" customHeight="1">
      <c r="A97" s="27"/>
      <c r="B97" s="88" t="s">
        <v>481</v>
      </c>
      <c r="C97" s="97" t="s">
        <v>49</v>
      </c>
      <c r="D97" s="11"/>
      <c r="E97" s="11"/>
      <c r="F97" s="11"/>
      <c r="G97" s="11"/>
      <c r="H97" s="11"/>
      <c r="I97" s="11"/>
      <c r="J97" s="11"/>
      <c r="K97" s="11"/>
      <c r="L97" s="11" t="b">
        <v>1</v>
      </c>
      <c r="M97" s="200" t="s">
        <v>287</v>
      </c>
      <c r="Q97" s="187"/>
      <c r="R97" s="8"/>
      <c r="X97" s="23" t="b">
        <v>1</v>
      </c>
      <c r="AB97" s="66" t="s">
        <v>482</v>
      </c>
      <c r="AC97" s="2"/>
      <c r="AD97" s="2"/>
      <c r="AE97" s="2"/>
      <c r="AF97" s="2"/>
      <c r="AG97" s="2"/>
      <c r="AH97" s="2"/>
      <c r="AI97" s="2"/>
      <c r="AJ97" s="2"/>
      <c r="AK97" s="2"/>
      <c r="AL97" s="2"/>
      <c r="AM97" s="2"/>
      <c r="AN97" s="2"/>
      <c r="AO97" s="2"/>
      <c r="AP97" s="2"/>
      <c r="AQ97" s="20" t="s">
        <v>483</v>
      </c>
      <c r="AR97" t="s">
        <v>484</v>
      </c>
      <c r="AT97" s="46">
        <v>70</v>
      </c>
      <c r="AU97" s="46">
        <v>70</v>
      </c>
    </row>
    <row r="98" spans="1:47" ht="14.25" customHeight="1">
      <c r="A98" s="27" t="s">
        <v>62</v>
      </c>
      <c r="B98" s="87" t="s">
        <v>485</v>
      </c>
      <c r="C98" s="97" t="s">
        <v>49</v>
      </c>
      <c r="D98" s="11" t="b">
        <v>1</v>
      </c>
      <c r="E98" s="11"/>
      <c r="F98" s="11"/>
      <c r="G98" s="11"/>
      <c r="H98" s="11"/>
      <c r="I98" s="11"/>
      <c r="J98" s="11"/>
      <c r="K98" s="11"/>
      <c r="L98" s="11" t="b">
        <v>1</v>
      </c>
      <c r="M98" s="200" t="s">
        <v>287</v>
      </c>
      <c r="Q98" s="187"/>
      <c r="R98" s="8"/>
      <c r="S98" s="23" t="s">
        <v>50</v>
      </c>
      <c r="T98" s="23" t="s">
        <v>50</v>
      </c>
      <c r="U98" s="23" t="s">
        <v>50</v>
      </c>
      <c r="V98" s="23" t="s">
        <v>50</v>
      </c>
      <c r="W98" s="23" t="b">
        <v>1</v>
      </c>
      <c r="X98" s="23" t="s">
        <v>50</v>
      </c>
      <c r="Z98" s="23" t="s">
        <v>50</v>
      </c>
      <c r="AB98" s="66" t="s">
        <v>486</v>
      </c>
      <c r="AC98" s="2" t="s">
        <v>66</v>
      </c>
      <c r="AD98" s="2"/>
      <c r="AE98" s="2"/>
      <c r="AF98" s="2"/>
      <c r="AG98" s="2"/>
      <c r="AH98" s="2"/>
      <c r="AI98" s="2"/>
      <c r="AJ98" s="2"/>
      <c r="AK98" s="2"/>
      <c r="AL98" s="2"/>
      <c r="AM98" s="2"/>
      <c r="AN98" s="2"/>
      <c r="AO98" s="2"/>
      <c r="AP98" s="2"/>
      <c r="AQ98" s="20" t="s">
        <v>487</v>
      </c>
      <c r="AR98" t="s">
        <v>488</v>
      </c>
      <c r="AT98" s="46">
        <v>70</v>
      </c>
      <c r="AU98" s="46">
        <v>70</v>
      </c>
    </row>
    <row r="99" spans="1:47" ht="14.25" customHeight="1">
      <c r="A99" s="27" t="s">
        <v>489</v>
      </c>
      <c r="B99" s="87" t="s">
        <v>490</v>
      </c>
      <c r="C99" s="97" t="s">
        <v>49</v>
      </c>
      <c r="D99" s="11"/>
      <c r="E99" s="11"/>
      <c r="F99" s="11"/>
      <c r="G99" s="11"/>
      <c r="H99" s="11" t="b">
        <v>1</v>
      </c>
      <c r="I99" s="11"/>
      <c r="J99" s="11"/>
      <c r="K99" s="11"/>
      <c r="L99" s="11"/>
      <c r="M99" s="16"/>
      <c r="N99" s="38">
        <f>2089.5+5400.5</f>
        <v>7490</v>
      </c>
      <c r="Q99" s="187">
        <v>51.390099999999997</v>
      </c>
      <c r="R99" s="8"/>
      <c r="S99" s="23" t="s">
        <v>50</v>
      </c>
      <c r="T99" s="23" t="b">
        <v>1</v>
      </c>
      <c r="U99" s="23" t="s">
        <v>50</v>
      </c>
      <c r="V99" s="23" t="s">
        <v>50</v>
      </c>
      <c r="X99" s="23" t="s">
        <v>50</v>
      </c>
      <c r="Z99" s="23" t="s">
        <v>50</v>
      </c>
      <c r="AB99" s="66" t="s">
        <v>491</v>
      </c>
      <c r="AC99" s="2" t="s">
        <v>66</v>
      </c>
      <c r="AD99" s="2"/>
      <c r="AE99" s="2"/>
      <c r="AF99" s="2"/>
      <c r="AG99" s="2"/>
      <c r="AH99" s="2"/>
      <c r="AI99" s="2"/>
      <c r="AJ99" s="2"/>
      <c r="AK99" s="2"/>
      <c r="AL99" s="2"/>
      <c r="AM99" s="2"/>
      <c r="AN99" s="2"/>
      <c r="AO99" s="2"/>
      <c r="AP99" s="2"/>
      <c r="AQ99" s="44" t="s">
        <v>492</v>
      </c>
      <c r="AR99" t="s">
        <v>493</v>
      </c>
      <c r="AT99" s="46">
        <v>5296.75</v>
      </c>
      <c r="AU99" s="46">
        <v>12898.75</v>
      </c>
    </row>
    <row r="100" spans="1:47" ht="14.25" customHeight="1">
      <c r="A100" s="27" t="s">
        <v>62</v>
      </c>
      <c r="B100" s="87" t="s">
        <v>494</v>
      </c>
      <c r="C100" s="97" t="s">
        <v>70</v>
      </c>
      <c r="D100" s="11" t="b">
        <v>1</v>
      </c>
      <c r="E100" s="11"/>
      <c r="F100" s="11"/>
      <c r="G100" s="11"/>
      <c r="H100" s="11"/>
      <c r="I100" s="11"/>
      <c r="J100" s="11"/>
      <c r="K100" s="11"/>
      <c r="L100" s="11"/>
      <c r="M100" s="200" t="s">
        <v>140</v>
      </c>
      <c r="Q100" s="187"/>
      <c r="R100" s="8"/>
      <c r="S100" s="23" t="s">
        <v>50</v>
      </c>
      <c r="T100" s="23" t="s">
        <v>50</v>
      </c>
      <c r="U100" s="23" t="s">
        <v>50</v>
      </c>
      <c r="V100" s="23" t="s">
        <v>50</v>
      </c>
      <c r="W100" s="23" t="b">
        <v>1</v>
      </c>
      <c r="X100" s="23" t="s">
        <v>50</v>
      </c>
      <c r="Z100" s="23" t="s">
        <v>50</v>
      </c>
      <c r="AB100" s="66" t="s">
        <v>495</v>
      </c>
      <c r="AC100" s="2" t="s">
        <v>66</v>
      </c>
      <c r="AD100" s="2"/>
      <c r="AE100" s="2"/>
      <c r="AF100" s="2"/>
      <c r="AG100" s="2"/>
      <c r="AH100" s="2"/>
      <c r="AI100" s="2"/>
      <c r="AJ100" s="2"/>
      <c r="AK100" s="2"/>
      <c r="AL100" s="2"/>
      <c r="AM100" s="2"/>
      <c r="AN100" s="2"/>
      <c r="AO100" s="2"/>
      <c r="AP100" s="2"/>
      <c r="AQ100" s="20"/>
      <c r="AR100" t="s">
        <v>496</v>
      </c>
      <c r="AT100" s="46"/>
      <c r="AU100" s="46"/>
    </row>
    <row r="101" spans="1:47" ht="14.25" customHeight="1">
      <c r="A101" s="27" t="s">
        <v>62</v>
      </c>
      <c r="B101" s="87" t="s">
        <v>497</v>
      </c>
      <c r="C101" s="97" t="s">
        <v>70</v>
      </c>
      <c r="D101" s="11"/>
      <c r="E101" s="11"/>
      <c r="F101" s="11"/>
      <c r="G101" s="11" t="b">
        <v>1</v>
      </c>
      <c r="H101" s="11"/>
      <c r="I101" s="11"/>
      <c r="J101" s="11"/>
      <c r="K101" s="11"/>
      <c r="L101" s="11"/>
      <c r="M101" s="200" t="s">
        <v>140</v>
      </c>
      <c r="Q101" s="187"/>
      <c r="R101" s="8"/>
      <c r="S101" s="23" t="s">
        <v>50</v>
      </c>
      <c r="T101" s="23" t="s">
        <v>50</v>
      </c>
      <c r="U101" s="23" t="s">
        <v>50</v>
      </c>
      <c r="V101" s="23" t="s">
        <v>50</v>
      </c>
      <c r="W101" s="23" t="b">
        <v>1</v>
      </c>
      <c r="X101" s="23" t="s">
        <v>50</v>
      </c>
      <c r="Z101" s="23" t="s">
        <v>50</v>
      </c>
      <c r="AB101" s="66" t="s">
        <v>498</v>
      </c>
      <c r="AC101" s="2" t="s">
        <v>66</v>
      </c>
      <c r="AD101" s="2"/>
      <c r="AE101" s="2"/>
      <c r="AF101" s="2"/>
      <c r="AG101" s="2"/>
      <c r="AH101" s="2"/>
      <c r="AI101" s="2"/>
      <c r="AJ101" s="2"/>
      <c r="AK101" s="2"/>
      <c r="AL101" s="2"/>
      <c r="AM101" s="2"/>
      <c r="AN101" s="2"/>
      <c r="AO101" s="2"/>
      <c r="AP101" s="2"/>
      <c r="AQ101" s="20"/>
      <c r="AR101" t="s">
        <v>499</v>
      </c>
      <c r="AT101" s="46"/>
      <c r="AU101" s="46"/>
    </row>
    <row r="102" spans="1:47" ht="14.25" customHeight="1">
      <c r="A102" s="27" t="s">
        <v>62</v>
      </c>
      <c r="B102" s="92" t="s">
        <v>500</v>
      </c>
      <c r="C102" s="97" t="s">
        <v>70</v>
      </c>
      <c r="D102" s="11"/>
      <c r="E102" s="11"/>
      <c r="F102" s="11" t="b">
        <v>1</v>
      </c>
      <c r="G102" s="11"/>
      <c r="H102" s="11"/>
      <c r="I102" s="11"/>
      <c r="J102" s="11"/>
      <c r="K102" s="11"/>
      <c r="L102" s="11"/>
      <c r="M102" s="200" t="s">
        <v>196</v>
      </c>
      <c r="Q102" s="187"/>
      <c r="R102" s="8"/>
      <c r="S102" s="23" t="s">
        <v>50</v>
      </c>
      <c r="T102" s="23" t="s">
        <v>50</v>
      </c>
      <c r="U102" s="23" t="s">
        <v>50</v>
      </c>
      <c r="V102" s="23" t="s">
        <v>50</v>
      </c>
      <c r="W102" s="23" t="b">
        <v>1</v>
      </c>
      <c r="X102" s="23" t="s">
        <v>50</v>
      </c>
      <c r="Z102" s="23" t="s">
        <v>50</v>
      </c>
      <c r="AB102" s="66"/>
      <c r="AC102" s="2" t="s">
        <v>66</v>
      </c>
      <c r="AD102" s="2"/>
      <c r="AE102" s="2"/>
      <c r="AF102" s="2"/>
      <c r="AG102" s="2"/>
      <c r="AH102" s="2"/>
      <c r="AI102" s="2"/>
      <c r="AJ102" s="2"/>
      <c r="AK102" s="2"/>
      <c r="AL102" s="2"/>
      <c r="AM102" s="2"/>
      <c r="AN102" s="2"/>
      <c r="AO102" s="2"/>
      <c r="AP102" s="2"/>
      <c r="AQ102" s="20"/>
      <c r="AR102" t="s">
        <v>501</v>
      </c>
      <c r="AT102" s="46"/>
      <c r="AU102" s="46"/>
    </row>
    <row r="103" spans="1:47" ht="14.25" customHeight="1">
      <c r="A103" s="27" t="s">
        <v>62</v>
      </c>
      <c r="B103" s="88" t="s">
        <v>502</v>
      </c>
      <c r="C103" s="97" t="s">
        <v>70</v>
      </c>
      <c r="D103" s="11"/>
      <c r="E103" s="11"/>
      <c r="F103" s="11"/>
      <c r="G103" s="11"/>
      <c r="H103" s="11"/>
      <c r="I103" s="11"/>
      <c r="J103" s="11"/>
      <c r="K103" s="11"/>
      <c r="L103" s="11" t="b">
        <v>1</v>
      </c>
      <c r="M103" s="16"/>
      <c r="Q103" s="187"/>
      <c r="R103" s="8"/>
      <c r="S103" s="23" t="s">
        <v>50</v>
      </c>
      <c r="T103" s="23" t="s">
        <v>50</v>
      </c>
      <c r="U103" s="23" t="s">
        <v>50</v>
      </c>
      <c r="V103" s="23" t="s">
        <v>50</v>
      </c>
      <c r="W103" s="23" t="s">
        <v>50</v>
      </c>
      <c r="X103" s="23" t="b">
        <v>1</v>
      </c>
      <c r="Z103" s="23" t="s">
        <v>50</v>
      </c>
      <c r="AB103" s="66" t="s">
        <v>503</v>
      </c>
      <c r="AC103" s="2" t="s">
        <v>66</v>
      </c>
      <c r="AD103" s="2"/>
      <c r="AE103" s="2"/>
      <c r="AF103" s="2"/>
      <c r="AG103" s="2"/>
      <c r="AH103" s="2"/>
      <c r="AI103" s="2"/>
      <c r="AJ103" s="2"/>
      <c r="AK103" s="2"/>
      <c r="AL103" s="2"/>
      <c r="AM103" s="2"/>
      <c r="AN103" s="2"/>
      <c r="AO103" s="2"/>
      <c r="AP103" s="2"/>
      <c r="AQ103" s="20"/>
      <c r="AR103" t="s">
        <v>504</v>
      </c>
      <c r="AT103" s="46">
        <v>70</v>
      </c>
      <c r="AU103" s="46">
        <v>70</v>
      </c>
    </row>
    <row r="104" spans="1:47" ht="14.25" customHeight="1">
      <c r="A104" s="27" t="s">
        <v>62</v>
      </c>
      <c r="B104" s="87" t="s">
        <v>505</v>
      </c>
      <c r="C104" s="97" t="s">
        <v>49</v>
      </c>
      <c r="D104" s="11"/>
      <c r="E104" s="11"/>
      <c r="F104" s="11"/>
      <c r="G104" s="11"/>
      <c r="H104" s="11"/>
      <c r="I104" s="11"/>
      <c r="J104" s="11"/>
      <c r="K104" s="11"/>
      <c r="L104" s="11" t="b">
        <v>1</v>
      </c>
      <c r="M104" s="16"/>
      <c r="Q104" s="187"/>
      <c r="R104" s="8" t="b">
        <v>1</v>
      </c>
      <c r="S104" s="23" t="s">
        <v>50</v>
      </c>
      <c r="T104" s="23" t="s">
        <v>50</v>
      </c>
      <c r="U104" s="23" t="s">
        <v>50</v>
      </c>
      <c r="V104" s="23" t="s">
        <v>50</v>
      </c>
      <c r="W104" s="23" t="s">
        <v>50</v>
      </c>
      <c r="X104" s="23" t="b">
        <v>1</v>
      </c>
      <c r="Z104" s="23" t="s">
        <v>50</v>
      </c>
      <c r="AB104" s="66" t="s">
        <v>506</v>
      </c>
      <c r="AC104" s="2" t="s">
        <v>66</v>
      </c>
      <c r="AD104" s="2"/>
      <c r="AE104" s="2"/>
      <c r="AF104" s="2"/>
      <c r="AG104" s="2"/>
      <c r="AH104" s="2"/>
      <c r="AI104" s="2"/>
      <c r="AJ104" s="2"/>
      <c r="AK104" s="2"/>
      <c r="AL104" s="2"/>
      <c r="AM104" s="2"/>
      <c r="AN104" s="2"/>
      <c r="AO104" s="2"/>
      <c r="AP104" s="2"/>
      <c r="AQ104" s="20" t="s">
        <v>507</v>
      </c>
      <c r="AR104" t="s">
        <v>508</v>
      </c>
      <c r="AT104" s="46">
        <v>125</v>
      </c>
      <c r="AU104" s="46">
        <v>125</v>
      </c>
    </row>
    <row r="105" spans="1:47" ht="14.25" customHeight="1">
      <c r="A105" s="27" t="s">
        <v>62</v>
      </c>
      <c r="B105" s="87" t="s">
        <v>509</v>
      </c>
      <c r="C105" s="97" t="s">
        <v>49</v>
      </c>
      <c r="D105" s="11" t="b">
        <v>1</v>
      </c>
      <c r="E105" s="11"/>
      <c r="F105" s="11"/>
      <c r="G105" s="11" t="b">
        <v>1</v>
      </c>
      <c r="H105" s="11"/>
      <c r="I105" s="11"/>
      <c r="J105" s="11"/>
      <c r="K105" s="11"/>
      <c r="L105" s="11"/>
      <c r="M105" s="200" t="s">
        <v>458</v>
      </c>
      <c r="Q105" s="187"/>
      <c r="R105" s="8"/>
      <c r="S105" s="23" t="s">
        <v>50</v>
      </c>
      <c r="T105" s="23" t="s">
        <v>50</v>
      </c>
      <c r="U105" s="23" t="s">
        <v>50</v>
      </c>
      <c r="V105" s="23" t="s">
        <v>50</v>
      </c>
      <c r="W105" s="23" t="b">
        <v>1</v>
      </c>
      <c r="X105" s="23" t="s">
        <v>50</v>
      </c>
      <c r="Z105" s="23" t="s">
        <v>50</v>
      </c>
      <c r="AB105" s="66" t="s">
        <v>510</v>
      </c>
      <c r="AC105" s="2" t="s">
        <v>66</v>
      </c>
      <c r="AD105" s="2"/>
      <c r="AE105" s="2"/>
      <c r="AF105" s="2"/>
      <c r="AG105" s="2"/>
      <c r="AH105" s="2"/>
      <c r="AI105" s="2"/>
      <c r="AJ105" s="2"/>
      <c r="AK105" s="2"/>
      <c r="AL105" s="2"/>
      <c r="AM105" s="2"/>
      <c r="AN105" s="2"/>
      <c r="AO105" s="2"/>
      <c r="AP105" s="2"/>
      <c r="AQ105" s="20" t="s">
        <v>511</v>
      </c>
      <c r="AR105" t="s">
        <v>512</v>
      </c>
      <c r="AT105" s="46">
        <v>125</v>
      </c>
      <c r="AU105" s="46">
        <v>125</v>
      </c>
    </row>
    <row r="106" spans="1:47" ht="14.25" customHeight="1">
      <c r="A106" s="27" t="s">
        <v>62</v>
      </c>
      <c r="B106" s="92" t="s">
        <v>513</v>
      </c>
      <c r="C106" s="97" t="s">
        <v>70</v>
      </c>
      <c r="D106" s="11"/>
      <c r="E106" s="11"/>
      <c r="F106" s="11"/>
      <c r="G106" s="11" t="b">
        <v>1</v>
      </c>
      <c r="H106" s="11"/>
      <c r="I106" s="11"/>
      <c r="J106" s="11"/>
      <c r="K106" s="11"/>
      <c r="L106" s="11"/>
      <c r="M106" s="83">
        <v>70</v>
      </c>
      <c r="Q106" s="187"/>
      <c r="R106" s="8"/>
      <c r="S106" s="23" t="s">
        <v>50</v>
      </c>
      <c r="T106" s="23" t="s">
        <v>50</v>
      </c>
      <c r="U106" s="23" t="s">
        <v>50</v>
      </c>
      <c r="V106" s="23" t="s">
        <v>50</v>
      </c>
      <c r="W106" s="23" t="b">
        <v>1</v>
      </c>
      <c r="X106" s="23" t="s">
        <v>50</v>
      </c>
      <c r="Z106" s="23" t="s">
        <v>50</v>
      </c>
      <c r="AB106" s="66"/>
      <c r="AC106" s="2" t="s">
        <v>66</v>
      </c>
      <c r="AD106" s="2"/>
      <c r="AE106" s="2"/>
      <c r="AF106" s="2"/>
      <c r="AG106" s="2"/>
      <c r="AH106" s="2"/>
      <c r="AI106" s="2"/>
      <c r="AJ106" s="2"/>
      <c r="AK106" s="2"/>
      <c r="AL106" s="2"/>
      <c r="AM106" s="2"/>
      <c r="AN106" s="2"/>
      <c r="AO106" s="2"/>
      <c r="AP106" s="2"/>
      <c r="AQ106" s="20" t="s">
        <v>514</v>
      </c>
      <c r="AR106" t="s">
        <v>515</v>
      </c>
      <c r="AT106" s="46"/>
      <c r="AU106" s="46"/>
    </row>
    <row r="107" spans="1:47" ht="14.25" customHeight="1">
      <c r="A107" s="27" t="s">
        <v>62</v>
      </c>
      <c r="B107" s="89" t="s">
        <v>516</v>
      </c>
      <c r="C107" s="97" t="s">
        <v>70</v>
      </c>
      <c r="D107" s="11"/>
      <c r="E107" s="11"/>
      <c r="F107" s="11"/>
      <c r="G107" s="11"/>
      <c r="H107" s="11"/>
      <c r="I107" s="11"/>
      <c r="J107" s="11"/>
      <c r="K107" s="11"/>
      <c r="L107" s="11" t="b">
        <v>1</v>
      </c>
      <c r="M107" s="16"/>
      <c r="Q107" s="187"/>
      <c r="R107" s="8" t="b">
        <v>1</v>
      </c>
      <c r="S107" s="23" t="s">
        <v>50</v>
      </c>
      <c r="T107" s="23" t="s">
        <v>50</v>
      </c>
      <c r="U107" s="23" t="s">
        <v>50</v>
      </c>
      <c r="V107" s="23" t="s">
        <v>50</v>
      </c>
      <c r="W107" s="23" t="s">
        <v>50</v>
      </c>
      <c r="X107" s="23" t="b">
        <v>1</v>
      </c>
      <c r="Z107" s="23" t="s">
        <v>50</v>
      </c>
      <c r="AB107" s="66"/>
      <c r="AC107" s="2" t="s">
        <v>66</v>
      </c>
      <c r="AD107" s="2"/>
      <c r="AE107" s="2"/>
      <c r="AF107" s="2"/>
      <c r="AG107" s="2"/>
      <c r="AH107" s="2"/>
      <c r="AI107" s="2"/>
      <c r="AJ107" s="2"/>
      <c r="AK107" s="2"/>
      <c r="AL107" s="2"/>
      <c r="AM107" s="2"/>
      <c r="AN107" s="2"/>
      <c r="AO107" s="2"/>
      <c r="AP107" s="2"/>
      <c r="AQ107" s="20" t="s">
        <v>517</v>
      </c>
      <c r="AR107" s="237" t="s">
        <v>518</v>
      </c>
      <c r="AT107" s="46">
        <v>125</v>
      </c>
      <c r="AU107" s="46">
        <v>125</v>
      </c>
    </row>
    <row r="108" spans="1:47" ht="14.25" customHeight="1">
      <c r="A108" s="27" t="s">
        <v>62</v>
      </c>
      <c r="B108" s="87" t="s">
        <v>519</v>
      </c>
      <c r="C108" s="97" t="s">
        <v>70</v>
      </c>
      <c r="D108" s="11"/>
      <c r="E108" s="11"/>
      <c r="F108" s="11" t="b">
        <v>1</v>
      </c>
      <c r="G108" s="11"/>
      <c r="H108" s="11"/>
      <c r="I108" s="11"/>
      <c r="J108" s="11"/>
      <c r="K108" s="11"/>
      <c r="L108" s="11"/>
      <c r="M108" s="200" t="s">
        <v>196</v>
      </c>
      <c r="Q108" s="187"/>
      <c r="R108" s="8"/>
      <c r="S108" s="23" t="s">
        <v>50</v>
      </c>
      <c r="T108" s="23" t="s">
        <v>50</v>
      </c>
      <c r="U108" s="23" t="s">
        <v>50</v>
      </c>
      <c r="V108" s="23" t="s">
        <v>50</v>
      </c>
      <c r="W108" s="23" t="b">
        <v>1</v>
      </c>
      <c r="X108" s="23" t="s">
        <v>50</v>
      </c>
      <c r="Z108" s="23" t="s">
        <v>50</v>
      </c>
      <c r="AB108" s="66" t="s">
        <v>520</v>
      </c>
      <c r="AC108" s="2" t="s">
        <v>66</v>
      </c>
      <c r="AD108" s="2"/>
      <c r="AE108" s="2"/>
      <c r="AF108" s="2"/>
      <c r="AG108" s="2"/>
      <c r="AH108" s="2"/>
      <c r="AI108" s="2"/>
      <c r="AJ108" s="2"/>
      <c r="AK108" s="2"/>
      <c r="AL108" s="2"/>
      <c r="AM108" s="2"/>
      <c r="AN108" s="2"/>
      <c r="AO108" s="2"/>
      <c r="AP108" s="2"/>
      <c r="AQ108" s="19" t="s">
        <v>521</v>
      </c>
      <c r="AR108" t="s">
        <v>522</v>
      </c>
      <c r="AT108" s="46"/>
      <c r="AU108" s="46"/>
    </row>
    <row r="109" spans="1:47" ht="14.25" customHeight="1">
      <c r="A109" s="27" t="s">
        <v>62</v>
      </c>
      <c r="B109" s="89" t="s">
        <v>523</v>
      </c>
      <c r="C109" s="97" t="s">
        <v>49</v>
      </c>
      <c r="D109" s="11"/>
      <c r="E109" s="11" t="b">
        <v>1</v>
      </c>
      <c r="F109" s="11"/>
      <c r="G109" s="11"/>
      <c r="H109" s="11"/>
      <c r="I109" s="11"/>
      <c r="J109" s="11" t="b">
        <v>1</v>
      </c>
      <c r="K109" s="11"/>
      <c r="L109" s="11" t="b">
        <v>1</v>
      </c>
      <c r="M109" s="16"/>
      <c r="Q109" s="187"/>
      <c r="R109" s="8"/>
      <c r="S109" s="23" t="s">
        <v>50</v>
      </c>
      <c r="T109" s="23" t="s">
        <v>50</v>
      </c>
      <c r="U109" s="23" t="s">
        <v>50</v>
      </c>
      <c r="V109" s="23" t="s">
        <v>50</v>
      </c>
      <c r="W109" s="23" t="s">
        <v>50</v>
      </c>
      <c r="X109" s="23" t="b">
        <v>1</v>
      </c>
      <c r="Z109" s="23" t="s">
        <v>50</v>
      </c>
      <c r="AB109" s="66"/>
      <c r="AC109" s="2" t="s">
        <v>66</v>
      </c>
      <c r="AD109" s="2"/>
      <c r="AE109" s="2"/>
      <c r="AF109" s="2"/>
      <c r="AG109" s="2"/>
      <c r="AH109" s="2"/>
      <c r="AI109" s="2"/>
      <c r="AJ109" s="2"/>
      <c r="AK109" s="2"/>
      <c r="AL109" s="2"/>
      <c r="AM109" s="2"/>
      <c r="AN109" s="2"/>
      <c r="AO109" s="2"/>
      <c r="AP109" s="2"/>
      <c r="AQ109" s="20"/>
      <c r="AR109" t="s">
        <v>524</v>
      </c>
      <c r="AT109" s="46"/>
      <c r="AU109" s="46"/>
    </row>
    <row r="110" spans="1:47" ht="14.25" customHeight="1">
      <c r="A110" s="27"/>
      <c r="B110" s="87" t="s">
        <v>525</v>
      </c>
      <c r="C110" s="97" t="s">
        <v>49</v>
      </c>
      <c r="D110" s="11"/>
      <c r="E110" s="11"/>
      <c r="F110" s="11"/>
      <c r="G110" s="11" t="b">
        <v>1</v>
      </c>
      <c r="H110" s="11"/>
      <c r="I110" s="11"/>
      <c r="J110" s="11"/>
      <c r="K110" s="11"/>
      <c r="L110" s="11"/>
      <c r="M110" s="200" t="s">
        <v>287</v>
      </c>
      <c r="Q110" s="187">
        <v>47.061199999999999</v>
      </c>
      <c r="R110" s="8"/>
      <c r="W110" s="23" t="b">
        <v>1</v>
      </c>
      <c r="AB110" s="66" t="s">
        <v>526</v>
      </c>
      <c r="AC110" s="2" t="s">
        <v>66</v>
      </c>
      <c r="AD110" s="2"/>
      <c r="AE110" s="2"/>
      <c r="AF110" s="2"/>
      <c r="AG110" s="2"/>
      <c r="AH110" s="2"/>
      <c r="AI110" s="2"/>
      <c r="AJ110" s="2"/>
      <c r="AK110" s="2"/>
      <c r="AL110" s="2"/>
      <c r="AM110" s="2"/>
      <c r="AN110" s="2"/>
      <c r="AO110" s="2"/>
      <c r="AP110" s="2"/>
      <c r="AQ110" s="20" t="s">
        <v>527</v>
      </c>
      <c r="AR110" t="s">
        <v>528</v>
      </c>
      <c r="AT110" s="46">
        <v>70</v>
      </c>
      <c r="AU110" s="46">
        <v>70</v>
      </c>
    </row>
    <row r="111" spans="1:47" ht="14.25" customHeight="1">
      <c r="A111" s="27"/>
      <c r="B111" s="87" t="s">
        <v>529</v>
      </c>
      <c r="C111" s="97" t="s">
        <v>49</v>
      </c>
      <c r="D111" s="11"/>
      <c r="E111" s="11"/>
      <c r="F111" s="11"/>
      <c r="G111" s="11" t="b">
        <v>1</v>
      </c>
      <c r="H111" s="11"/>
      <c r="I111" s="11"/>
      <c r="J111" s="11"/>
      <c r="K111" s="11"/>
      <c r="L111" s="11"/>
      <c r="M111" s="200" t="s">
        <v>140</v>
      </c>
      <c r="Q111" s="187">
        <v>48.050800000000002</v>
      </c>
      <c r="R111" s="8"/>
      <c r="S111" s="23" t="s">
        <v>50</v>
      </c>
      <c r="V111" s="23" t="b">
        <v>1</v>
      </c>
      <c r="W111" s="23" t="b">
        <v>1</v>
      </c>
      <c r="X111" s="23" t="b">
        <v>1</v>
      </c>
      <c r="Z111" s="23" t="s">
        <v>50</v>
      </c>
      <c r="AB111" s="66" t="s">
        <v>530</v>
      </c>
      <c r="AC111" s="2" t="s">
        <v>66</v>
      </c>
      <c r="AD111" s="2"/>
      <c r="AE111" s="2"/>
      <c r="AF111" s="2"/>
      <c r="AG111" s="2"/>
      <c r="AH111" s="2"/>
      <c r="AI111" s="2"/>
      <c r="AJ111" s="2"/>
      <c r="AK111" s="2"/>
      <c r="AL111" s="2"/>
      <c r="AM111" s="2"/>
      <c r="AN111" s="2"/>
      <c r="AO111" s="2"/>
      <c r="AP111" s="2"/>
      <c r="AQ111" s="238" t="s">
        <v>531</v>
      </c>
      <c r="AR111" t="s">
        <v>532</v>
      </c>
      <c r="AT111" s="46">
        <v>225</v>
      </c>
      <c r="AU111" s="46">
        <v>225</v>
      </c>
    </row>
    <row r="112" spans="1:47" ht="14.25" customHeight="1">
      <c r="A112" s="27" t="s">
        <v>62</v>
      </c>
      <c r="B112" s="87" t="s">
        <v>533</v>
      </c>
      <c r="C112" s="97" t="s">
        <v>49</v>
      </c>
      <c r="D112" s="31"/>
      <c r="E112" s="31"/>
      <c r="F112" s="31"/>
      <c r="G112" s="31"/>
      <c r="H112" s="31"/>
      <c r="I112" s="31"/>
      <c r="J112" s="31"/>
      <c r="K112" s="31"/>
      <c r="L112" s="31" t="b">
        <v>1</v>
      </c>
      <c r="M112" s="85"/>
      <c r="N112" s="40">
        <f>820+4055</f>
        <v>4875</v>
      </c>
      <c r="O112" s="32"/>
      <c r="P112" s="32"/>
      <c r="Q112" s="189"/>
      <c r="R112" s="33"/>
      <c r="S112" s="34" t="s">
        <v>50</v>
      </c>
      <c r="T112" s="34" t="s">
        <v>50</v>
      </c>
      <c r="U112" s="34" t="s">
        <v>50</v>
      </c>
      <c r="V112" s="34" t="s">
        <v>50</v>
      </c>
      <c r="W112" s="34" t="s">
        <v>50</v>
      </c>
      <c r="X112" s="34" t="b">
        <v>1</v>
      </c>
      <c r="Y112" s="34"/>
      <c r="Z112" s="34" t="s">
        <v>50</v>
      </c>
      <c r="AA112" s="33"/>
      <c r="AB112" s="68" t="s">
        <v>534</v>
      </c>
      <c r="AC112" s="35" t="s">
        <v>66</v>
      </c>
      <c r="AD112" s="35"/>
      <c r="AE112" s="35"/>
      <c r="AF112" s="35"/>
      <c r="AG112" s="35"/>
      <c r="AH112" s="35"/>
      <c r="AI112" s="35"/>
      <c r="AJ112" s="35"/>
      <c r="AK112" s="35"/>
      <c r="AL112" s="35"/>
      <c r="AM112" s="35"/>
      <c r="AN112" s="35"/>
      <c r="AO112" s="35"/>
      <c r="AP112" s="35"/>
      <c r="AQ112" s="36" t="s">
        <v>535</v>
      </c>
      <c r="AR112" t="s">
        <v>536</v>
      </c>
      <c r="AT112" s="46">
        <v>70</v>
      </c>
      <c r="AU112" s="46">
        <v>70</v>
      </c>
    </row>
    <row r="113" spans="1:47" ht="14.25" customHeight="1">
      <c r="A113" s="207" t="s">
        <v>537</v>
      </c>
      <c r="B113" s="208" t="s">
        <v>538</v>
      </c>
      <c r="C113" s="209" t="s">
        <v>49</v>
      </c>
      <c r="D113" s="210"/>
      <c r="E113" s="210"/>
      <c r="F113" s="210" t="b">
        <v>1</v>
      </c>
      <c r="G113" s="210"/>
      <c r="H113" s="210"/>
      <c r="I113" s="210"/>
      <c r="J113" s="210" t="b">
        <v>1</v>
      </c>
      <c r="K113" s="210"/>
      <c r="L113" s="210"/>
      <c r="M113" s="211"/>
      <c r="N113" s="212">
        <v>4940</v>
      </c>
      <c r="O113" s="213"/>
      <c r="P113" s="213"/>
      <c r="Q113" s="214">
        <v>43.039900000000003</v>
      </c>
      <c r="R113" s="215" t="b">
        <v>1</v>
      </c>
      <c r="S113" s="216" t="b">
        <v>1</v>
      </c>
      <c r="T113" s="216" t="b">
        <v>1</v>
      </c>
      <c r="U113" s="216" t="b">
        <v>1</v>
      </c>
      <c r="V113" s="216"/>
      <c r="W113" s="216"/>
      <c r="X113" s="216"/>
      <c r="Y113" s="216"/>
      <c r="Z113" s="216"/>
      <c r="AA113" s="215"/>
      <c r="AB113" s="217" t="s">
        <v>539</v>
      </c>
      <c r="AC113" s="218" t="s">
        <v>66</v>
      </c>
      <c r="AD113" s="218"/>
      <c r="AE113" s="218"/>
      <c r="AF113" s="218"/>
      <c r="AG113" s="218"/>
      <c r="AH113" s="218"/>
      <c r="AI113" s="218"/>
      <c r="AJ113" s="218"/>
      <c r="AK113" s="218"/>
      <c r="AL113" s="218"/>
      <c r="AM113" s="218"/>
      <c r="AN113" s="218"/>
      <c r="AO113" s="218"/>
      <c r="AP113" s="218"/>
      <c r="AQ113" s="219" t="s">
        <v>540</v>
      </c>
      <c r="AR113" t="s">
        <v>541</v>
      </c>
      <c r="AT113" s="46"/>
      <c r="AU113" s="46"/>
    </row>
    <row r="114" spans="1:47" ht="14.25" customHeight="1">
      <c r="A114" s="163">
        <v>55260</v>
      </c>
      <c r="B114" s="96" t="s">
        <v>542</v>
      </c>
      <c r="C114" s="87" t="s">
        <v>49</v>
      </c>
      <c r="D114" s="28" t="b">
        <v>1</v>
      </c>
      <c r="E114" s="28"/>
      <c r="F114" s="28"/>
      <c r="G114" s="28"/>
      <c r="H114" s="28" t="b">
        <v>1</v>
      </c>
      <c r="I114" s="28"/>
      <c r="J114" s="28" t="b">
        <v>1</v>
      </c>
      <c r="K114" s="28"/>
      <c r="L114" s="28"/>
      <c r="M114" s="86"/>
      <c r="N114" s="205"/>
      <c r="O114" s="28"/>
      <c r="P114" s="28"/>
      <c r="Q114" s="206">
        <v>12.030099999999999</v>
      </c>
      <c r="R114" s="28" t="b">
        <v>1</v>
      </c>
      <c r="S114" s="28"/>
      <c r="T114" s="28"/>
      <c r="U114" s="28"/>
      <c r="V114" s="28"/>
      <c r="W114" s="28"/>
      <c r="X114" s="30"/>
      <c r="Y114" s="28" t="b">
        <v>1</v>
      </c>
      <c r="Z114" s="28"/>
      <c r="AA114" s="28"/>
      <c r="AB114" s="71" t="s">
        <v>543</v>
      </c>
      <c r="AC114" s="28" t="s">
        <v>544</v>
      </c>
      <c r="AD114" s="28"/>
      <c r="AE114" s="28"/>
      <c r="AF114" s="28"/>
      <c r="AG114" s="28"/>
      <c r="AH114" s="28"/>
      <c r="AI114" s="28"/>
      <c r="AJ114" s="28"/>
      <c r="AK114" s="28"/>
      <c r="AL114" s="28"/>
      <c r="AM114" s="28"/>
      <c r="AN114" s="28"/>
      <c r="AO114" s="28"/>
      <c r="AP114" s="28"/>
      <c r="AQ114" s="240" t="s">
        <v>545</v>
      </c>
      <c r="AR114" t="s">
        <v>546</v>
      </c>
      <c r="AT114" s="46"/>
      <c r="AU114" s="46"/>
    </row>
    <row r="115" spans="1:47" ht="14.25" customHeight="1">
      <c r="A115" s="163">
        <v>45720</v>
      </c>
      <c r="B115" s="96" t="s">
        <v>547</v>
      </c>
      <c r="C115" s="87" t="s">
        <v>49</v>
      </c>
      <c r="D115" s="28"/>
      <c r="E115" s="28"/>
      <c r="F115" s="28"/>
      <c r="G115" s="28"/>
      <c r="H115" s="28" t="b">
        <v>1</v>
      </c>
      <c r="I115" s="28"/>
      <c r="J115" s="28"/>
      <c r="K115" s="28"/>
      <c r="L115" s="28"/>
      <c r="M115" s="86"/>
      <c r="N115" s="205"/>
      <c r="O115" s="28"/>
      <c r="P115" s="28"/>
      <c r="Q115" s="206">
        <v>51.090800000000002</v>
      </c>
      <c r="R115" s="28" t="b">
        <v>1</v>
      </c>
      <c r="S115" s="28"/>
      <c r="T115" s="28"/>
      <c r="U115" s="28"/>
      <c r="V115" s="28"/>
      <c r="W115" s="28"/>
      <c r="X115" s="30"/>
      <c r="Y115" s="28" t="b">
        <v>1</v>
      </c>
      <c r="Z115" s="28"/>
      <c r="AA115" s="28"/>
      <c r="AB115" s="71" t="s">
        <v>548</v>
      </c>
      <c r="AC115" s="28" t="s">
        <v>544</v>
      </c>
      <c r="AD115" s="28"/>
      <c r="AE115" s="28"/>
      <c r="AF115" s="28"/>
      <c r="AG115" s="28"/>
      <c r="AH115" s="28"/>
      <c r="AI115" s="28"/>
      <c r="AJ115" s="28"/>
      <c r="AK115" s="28"/>
      <c r="AL115" s="28"/>
      <c r="AM115" s="28"/>
      <c r="AN115" s="28"/>
      <c r="AO115" s="28"/>
      <c r="AP115" s="28"/>
      <c r="AQ115" s="240" t="s">
        <v>549</v>
      </c>
      <c r="AR115" t="s">
        <v>550</v>
      </c>
      <c r="AT115" s="46"/>
      <c r="AU115" s="46"/>
    </row>
    <row r="116" spans="1:47" ht="14.25" customHeight="1">
      <c r="A116" s="163">
        <v>45730</v>
      </c>
      <c r="B116" s="96" t="s">
        <v>551</v>
      </c>
      <c r="C116" s="87" t="s">
        <v>49</v>
      </c>
      <c r="D116" s="28"/>
      <c r="E116" s="28"/>
      <c r="F116" s="28"/>
      <c r="G116" s="28"/>
      <c r="H116" s="28" t="b">
        <v>1</v>
      </c>
      <c r="I116" s="28"/>
      <c r="J116" s="28"/>
      <c r="K116" s="28"/>
      <c r="L116" s="28"/>
      <c r="M116" s="86"/>
      <c r="N116" s="205"/>
      <c r="O116" s="28"/>
      <c r="P116" s="28"/>
      <c r="Q116" s="206">
        <v>51.081600000000002</v>
      </c>
      <c r="R116" s="28" t="b">
        <v>1</v>
      </c>
      <c r="S116" s="28"/>
      <c r="T116" s="28"/>
      <c r="U116" s="28"/>
      <c r="V116" s="28"/>
      <c r="W116" s="28"/>
      <c r="X116" s="30"/>
      <c r="Y116" s="28" t="b">
        <v>1</v>
      </c>
      <c r="Z116" s="28"/>
      <c r="AA116" s="28"/>
      <c r="AB116" s="71" t="s">
        <v>552</v>
      </c>
      <c r="AC116" s="28" t="s">
        <v>544</v>
      </c>
      <c r="AD116" s="28"/>
      <c r="AE116" s="28"/>
      <c r="AF116" s="28"/>
      <c r="AG116" s="28"/>
      <c r="AH116" s="28"/>
      <c r="AI116" s="28"/>
      <c r="AJ116" s="28"/>
      <c r="AK116" s="28"/>
      <c r="AL116" s="28"/>
      <c r="AM116" s="28"/>
      <c r="AN116" s="28"/>
      <c r="AO116" s="28"/>
      <c r="AP116" s="28"/>
      <c r="AQ116" s="240" t="s">
        <v>553</v>
      </c>
      <c r="AR116" t="s">
        <v>554</v>
      </c>
      <c r="AT116" s="46"/>
      <c r="AU116" s="46"/>
    </row>
    <row r="117" spans="1:47" ht="14.25" customHeight="1">
      <c r="A117" s="163">
        <v>25380</v>
      </c>
      <c r="B117" s="96" t="s">
        <v>555</v>
      </c>
      <c r="C117" s="87" t="s">
        <v>49</v>
      </c>
      <c r="D117" s="28" t="b">
        <v>1</v>
      </c>
      <c r="E117" s="28"/>
      <c r="F117" s="28"/>
      <c r="G117" s="28"/>
      <c r="H117" s="28"/>
      <c r="I117" s="28"/>
      <c r="J117" s="28" t="b">
        <v>1</v>
      </c>
      <c r="K117" s="28"/>
      <c r="L117" s="28"/>
      <c r="M117" s="86"/>
      <c r="N117" s="205"/>
      <c r="O117" s="28"/>
      <c r="P117" s="28"/>
      <c r="Q117" s="206">
        <v>22.030200000000001</v>
      </c>
      <c r="R117" s="28" t="b">
        <v>1</v>
      </c>
      <c r="S117" s="28"/>
      <c r="T117" s="28"/>
      <c r="U117" s="28"/>
      <c r="V117" s="28"/>
      <c r="W117" s="28"/>
      <c r="X117" s="30"/>
      <c r="Y117" s="28" t="b">
        <v>1</v>
      </c>
      <c r="Z117" s="28"/>
      <c r="AA117" s="28"/>
      <c r="AB117" s="71" t="s">
        <v>556</v>
      </c>
      <c r="AC117" s="28" t="s">
        <v>544</v>
      </c>
      <c r="AD117" s="28"/>
      <c r="AE117" s="28"/>
      <c r="AF117" s="28"/>
      <c r="AG117" s="28"/>
      <c r="AH117" s="28"/>
      <c r="AI117" s="28"/>
      <c r="AJ117" s="28"/>
      <c r="AK117" s="28"/>
      <c r="AL117" s="28"/>
      <c r="AM117" s="28"/>
      <c r="AN117" s="28"/>
      <c r="AO117" s="28"/>
      <c r="AP117" s="28"/>
      <c r="AQ117" s="240" t="s">
        <v>557</v>
      </c>
      <c r="AR117" t="s">
        <v>558</v>
      </c>
      <c r="AT117" s="46"/>
      <c r="AU117" s="46"/>
    </row>
    <row r="118" spans="1:47" ht="14.25" customHeight="1">
      <c r="A118" s="220"/>
      <c r="B118" s="221" t="s">
        <v>559</v>
      </c>
      <c r="C118" t="s">
        <v>49</v>
      </c>
      <c r="D118"/>
      <c r="E118"/>
      <c r="F118"/>
      <c r="G118"/>
      <c r="H118" t="b">
        <v>1</v>
      </c>
      <c r="I118"/>
      <c r="J118"/>
      <c r="K118"/>
      <c r="L118"/>
      <c r="M118" s="200" t="s">
        <v>560</v>
      </c>
      <c r="N118" s="46"/>
      <c r="O118"/>
      <c r="P118"/>
      <c r="Q118" s="190"/>
      <c r="R118"/>
      <c r="S118"/>
      <c r="T118"/>
      <c r="U118"/>
      <c r="V118"/>
      <c r="W118" t="b">
        <v>1</v>
      </c>
      <c r="X118"/>
      <c r="Y118"/>
      <c r="Z118"/>
      <c r="AA118"/>
      <c r="AB118" s="64"/>
      <c r="AQ118" s="139" t="s">
        <v>561</v>
      </c>
      <c r="AR118" t="s">
        <v>562</v>
      </c>
      <c r="AT118" s="46">
        <v>1265</v>
      </c>
      <c r="AU118" s="46">
        <v>1265</v>
      </c>
    </row>
    <row r="119" spans="1:47" ht="14.25" customHeight="1">
      <c r="A119" s="27"/>
      <c r="B119" s="28" t="s">
        <v>563</v>
      </c>
      <c r="C119" t="s">
        <v>49</v>
      </c>
      <c r="D119"/>
      <c r="E119"/>
      <c r="F119"/>
      <c r="G119"/>
      <c r="H119"/>
      <c r="I119"/>
      <c r="J119"/>
      <c r="K119"/>
      <c r="L119" t="b">
        <v>1</v>
      </c>
      <c r="M119" s="200" t="s">
        <v>140</v>
      </c>
      <c r="N119" s="46"/>
      <c r="O119"/>
      <c r="P119"/>
      <c r="Q119" s="190"/>
      <c r="R119"/>
      <c r="S119"/>
      <c r="T119"/>
      <c r="U119"/>
      <c r="V119"/>
      <c r="W119"/>
      <c r="X119" t="b">
        <v>1</v>
      </c>
      <c r="Y119"/>
      <c r="Z119"/>
      <c r="AA119"/>
      <c r="AB119" s="64"/>
      <c r="AQ119" s="139" t="s">
        <v>564</v>
      </c>
      <c r="AR119" t="s">
        <v>565</v>
      </c>
      <c r="AT119" s="46">
        <v>180</v>
      </c>
      <c r="AU119" s="46">
        <v>180</v>
      </c>
    </row>
    <row r="120" spans="1:47" ht="14.25" customHeight="1">
      <c r="A120" s="207"/>
      <c r="B120" s="208" t="s">
        <v>566</v>
      </c>
      <c r="C120" t="s">
        <v>49</v>
      </c>
      <c r="D120" t="b">
        <v>1</v>
      </c>
      <c r="E120"/>
      <c r="F120"/>
      <c r="G120" t="b">
        <v>1</v>
      </c>
      <c r="H120"/>
      <c r="I120"/>
      <c r="J120"/>
      <c r="K120"/>
      <c r="L120"/>
      <c r="M120" s="200" t="s">
        <v>287</v>
      </c>
      <c r="N120" s="46"/>
      <c r="O120"/>
      <c r="P120"/>
      <c r="Q120" s="190"/>
      <c r="R120"/>
      <c r="S120"/>
      <c r="T120"/>
      <c r="U120"/>
      <c r="V120"/>
      <c r="W120" t="b">
        <v>1</v>
      </c>
      <c r="X120"/>
      <c r="Y120"/>
      <c r="Z120"/>
      <c r="AA120"/>
      <c r="AB120" s="64"/>
      <c r="AQ120" s="139" t="s">
        <v>567</v>
      </c>
      <c r="AR120" t="s">
        <v>568</v>
      </c>
      <c r="AT120" s="46">
        <v>70</v>
      </c>
      <c r="AU120" s="46">
        <v>70</v>
      </c>
    </row>
    <row r="121" spans="1:47" ht="14.25" customHeight="1">
      <c r="A121" s="105" t="s">
        <v>569</v>
      </c>
      <c r="B121" s="162" t="s">
        <v>570</v>
      </c>
      <c r="C121" s="162" t="s">
        <v>49</v>
      </c>
      <c r="D121" s="28"/>
      <c r="E121" s="28"/>
      <c r="F121" s="28"/>
      <c r="G121" s="28"/>
      <c r="H121" s="28" t="b">
        <v>1</v>
      </c>
      <c r="I121" s="28" t="b">
        <v>1</v>
      </c>
      <c r="J121" s="28"/>
      <c r="K121" s="28"/>
      <c r="L121" s="28"/>
      <c r="M121" s="86"/>
      <c r="N121" s="205"/>
      <c r="O121" s="28"/>
      <c r="P121" s="28"/>
      <c r="Q121" s="206">
        <v>51.110500000000002</v>
      </c>
      <c r="R121" s="28" t="b">
        <v>1</v>
      </c>
      <c r="S121" s="28" t="b">
        <v>1</v>
      </c>
      <c r="T121" s="28"/>
      <c r="U121" s="28"/>
      <c r="V121" s="28" t="b">
        <v>1</v>
      </c>
      <c r="W121" s="28"/>
      <c r="X121" s="28"/>
      <c r="Y121" s="28"/>
      <c r="Z121" s="28"/>
      <c r="AA121" s="28"/>
      <c r="AB121" s="86"/>
      <c r="AC121" s="28"/>
      <c r="AD121" s="28"/>
      <c r="AE121" s="28"/>
      <c r="AF121" s="28"/>
      <c r="AG121" s="28"/>
      <c r="AH121" s="28"/>
      <c r="AI121" s="28"/>
      <c r="AJ121" s="28"/>
      <c r="AK121" s="28"/>
      <c r="AL121" s="28"/>
      <c r="AM121" s="28"/>
      <c r="AN121" s="28"/>
      <c r="AO121" s="28"/>
      <c r="AP121" s="28"/>
      <c r="AQ121" s="240" t="s">
        <v>571</v>
      </c>
      <c r="AR121" t="s">
        <v>572</v>
      </c>
      <c r="AT121" s="46"/>
      <c r="AU121" s="46"/>
    </row>
    <row r="122" spans="1:47" ht="14.25" customHeight="1">
      <c r="D122"/>
      <c r="E122"/>
      <c r="F122"/>
      <c r="G122"/>
      <c r="H122"/>
      <c r="I122"/>
      <c r="J122"/>
      <c r="K122"/>
      <c r="L122"/>
      <c r="M122" s="64"/>
      <c r="N122" s="46"/>
      <c r="O122"/>
      <c r="P122"/>
      <c r="Q122"/>
      <c r="R122"/>
      <c r="S122"/>
      <c r="T122"/>
      <c r="U122"/>
      <c r="V122"/>
      <c r="W122"/>
      <c r="X122"/>
      <c r="Y122"/>
      <c r="Z122"/>
      <c r="AA122"/>
      <c r="AB122" s="64"/>
      <c r="AQ122" s="47"/>
    </row>
    <row r="123" spans="1:47" ht="14.25" customHeight="1">
      <c r="D123"/>
      <c r="E123"/>
      <c r="F123"/>
      <c r="G123"/>
      <c r="H123"/>
      <c r="I123"/>
      <c r="J123"/>
      <c r="K123"/>
      <c r="L123"/>
      <c r="M123"/>
      <c r="N123" s="46"/>
      <c r="O123"/>
      <c r="P123"/>
      <c r="Q123"/>
      <c r="R123"/>
      <c r="S123"/>
      <c r="T123"/>
      <c r="U123"/>
      <c r="V123"/>
      <c r="W123"/>
      <c r="X123"/>
      <c r="Y123"/>
      <c r="Z123"/>
      <c r="AA123"/>
      <c r="AB123" s="64"/>
      <c r="AQ123" s="47"/>
    </row>
    <row r="124" spans="1:47" ht="14.25" customHeight="1">
      <c r="D124"/>
      <c r="E124"/>
      <c r="F124"/>
      <c r="G124"/>
      <c r="H124"/>
      <c r="I124"/>
      <c r="J124"/>
      <c r="K124"/>
      <c r="L124"/>
      <c r="M124"/>
      <c r="N124" s="46"/>
      <c r="O124"/>
      <c r="P124"/>
      <c r="Q124"/>
      <c r="R124"/>
      <c r="S124"/>
      <c r="T124"/>
      <c r="U124"/>
      <c r="V124"/>
      <c r="W124"/>
      <c r="X124"/>
      <c r="Y124"/>
      <c r="Z124"/>
      <c r="AA124"/>
      <c r="AB124" s="64"/>
      <c r="AQ124" s="47"/>
    </row>
    <row r="125" spans="1:47" ht="14.25" customHeight="1">
      <c r="D125"/>
      <c r="E125"/>
      <c r="F125"/>
      <c r="G125"/>
      <c r="H125"/>
      <c r="I125"/>
      <c r="J125"/>
      <c r="K125"/>
      <c r="L125"/>
      <c r="M125"/>
      <c r="N125" s="46"/>
      <c r="O125"/>
      <c r="P125"/>
      <c r="Q125"/>
      <c r="R125"/>
      <c r="S125"/>
      <c r="T125"/>
      <c r="U125"/>
      <c r="V125"/>
      <c r="W125"/>
      <c r="X125"/>
      <c r="Y125"/>
      <c r="Z125"/>
      <c r="AA125"/>
      <c r="AB125" s="64"/>
      <c r="AQ125" s="47"/>
      <c r="AR125" s="37" t="s">
        <v>573</v>
      </c>
    </row>
    <row r="126" spans="1:47" ht="14.25" customHeight="1">
      <c r="D126"/>
      <c r="E126"/>
      <c r="F126"/>
      <c r="G126"/>
      <c r="H126"/>
      <c r="I126"/>
      <c r="J126"/>
      <c r="K126"/>
      <c r="L126"/>
      <c r="M126"/>
      <c r="N126" s="46"/>
      <c r="O126"/>
      <c r="P126"/>
      <c r="Q126"/>
      <c r="R126"/>
      <c r="S126"/>
      <c r="T126"/>
      <c r="U126"/>
      <c r="V126"/>
      <c r="W126"/>
      <c r="X126"/>
      <c r="Y126"/>
      <c r="Z126"/>
      <c r="AA126"/>
      <c r="AB126" s="64"/>
      <c r="AQ126" s="47"/>
    </row>
    <row r="127" spans="1:47" ht="14.25" customHeight="1">
      <c r="D127"/>
      <c r="E127"/>
      <c r="F127"/>
      <c r="G127"/>
      <c r="H127"/>
      <c r="I127"/>
      <c r="J127"/>
      <c r="K127"/>
      <c r="L127"/>
      <c r="M127"/>
      <c r="N127" s="46"/>
      <c r="O127"/>
      <c r="P127"/>
      <c r="Q127"/>
      <c r="R127"/>
      <c r="S127"/>
      <c r="T127"/>
      <c r="U127"/>
      <c r="V127"/>
      <c r="W127"/>
      <c r="X127"/>
      <c r="Y127"/>
      <c r="Z127"/>
      <c r="AA127"/>
      <c r="AB127" s="64"/>
      <c r="AQ127" s="47"/>
    </row>
    <row r="128" spans="1:47" ht="14.25" customHeight="1">
      <c r="D128"/>
      <c r="E128"/>
      <c r="F128"/>
      <c r="G128"/>
      <c r="H128"/>
      <c r="I128"/>
      <c r="J128"/>
      <c r="K128"/>
      <c r="L128"/>
      <c r="M128"/>
      <c r="N128" s="46"/>
      <c r="O128"/>
      <c r="P128"/>
      <c r="Q128"/>
      <c r="R128"/>
      <c r="S128"/>
      <c r="T128"/>
      <c r="U128"/>
      <c r="V128"/>
      <c r="W128"/>
      <c r="X128"/>
      <c r="Y128"/>
      <c r="Z128"/>
      <c r="AA128"/>
      <c r="AB128" s="64"/>
      <c r="AQ128" s="47"/>
    </row>
    <row r="129" spans="4:43" ht="14.25" customHeight="1">
      <c r="D129"/>
      <c r="E129"/>
      <c r="F129"/>
      <c r="G129"/>
      <c r="H129"/>
      <c r="I129"/>
      <c r="J129"/>
      <c r="K129"/>
      <c r="L129"/>
      <c r="M129"/>
      <c r="N129" s="46"/>
      <c r="O129"/>
      <c r="P129"/>
      <c r="Q129"/>
      <c r="R129"/>
      <c r="S129"/>
      <c r="T129"/>
      <c r="U129"/>
      <c r="V129"/>
      <c r="W129"/>
      <c r="X129"/>
      <c r="Y129"/>
      <c r="Z129"/>
      <c r="AA129"/>
      <c r="AB129" s="64"/>
      <c r="AQ129" s="47"/>
    </row>
    <row r="130" spans="4:43" ht="14.25" customHeight="1">
      <c r="D130"/>
      <c r="E130"/>
      <c r="F130"/>
      <c r="G130"/>
      <c r="H130"/>
      <c r="I130"/>
      <c r="J130"/>
      <c r="K130"/>
      <c r="L130"/>
      <c r="M130"/>
      <c r="N130" s="46"/>
      <c r="O130"/>
      <c r="P130"/>
      <c r="Q130"/>
      <c r="R130"/>
      <c r="S130"/>
      <c r="T130"/>
      <c r="U130"/>
      <c r="V130"/>
      <c r="W130"/>
      <c r="X130"/>
      <c r="Y130"/>
      <c r="Z130"/>
      <c r="AA130"/>
      <c r="AB130" s="64"/>
      <c r="AQ130" s="47"/>
    </row>
    <row r="131" spans="4:43" ht="14.25" customHeight="1">
      <c r="D131"/>
      <c r="E131"/>
      <c r="F131"/>
      <c r="G131"/>
      <c r="H131"/>
      <c r="I131"/>
      <c r="J131"/>
      <c r="K131"/>
      <c r="L131"/>
      <c r="M131"/>
      <c r="N131" s="46"/>
      <c r="O131"/>
      <c r="P131"/>
      <c r="Q131"/>
      <c r="R131"/>
      <c r="S131"/>
      <c r="T131"/>
      <c r="U131"/>
      <c r="V131"/>
      <c r="W131"/>
      <c r="X131"/>
      <c r="Y131"/>
      <c r="Z131"/>
      <c r="AA131"/>
      <c r="AB131" s="64"/>
      <c r="AQ131" s="47"/>
    </row>
    <row r="132" spans="4:43" ht="14.25" customHeight="1">
      <c r="D132"/>
      <c r="E132"/>
      <c r="F132"/>
      <c r="G132"/>
      <c r="H132"/>
      <c r="I132"/>
      <c r="J132"/>
      <c r="K132"/>
      <c r="L132"/>
      <c r="M132"/>
      <c r="N132" s="46"/>
      <c r="O132"/>
      <c r="P132"/>
      <c r="Q132"/>
      <c r="R132"/>
      <c r="S132"/>
      <c r="T132"/>
      <c r="U132"/>
      <c r="V132"/>
      <c r="W132"/>
      <c r="X132"/>
      <c r="Y132"/>
      <c r="Z132"/>
      <c r="AA132"/>
      <c r="AB132" s="64"/>
      <c r="AQ132" s="47"/>
    </row>
    <row r="133" spans="4:43" ht="14.25" customHeight="1">
      <c r="D133"/>
      <c r="E133"/>
      <c r="F133"/>
      <c r="G133"/>
      <c r="H133"/>
      <c r="I133"/>
      <c r="J133"/>
      <c r="K133"/>
      <c r="L133"/>
      <c r="M133"/>
      <c r="N133" s="46"/>
      <c r="O133"/>
      <c r="P133"/>
      <c r="Q133"/>
      <c r="R133"/>
      <c r="S133"/>
      <c r="T133"/>
      <c r="U133"/>
      <c r="V133"/>
      <c r="W133"/>
      <c r="X133"/>
      <c r="Y133"/>
      <c r="Z133"/>
      <c r="AA133"/>
      <c r="AB133" s="64"/>
      <c r="AQ133" s="47"/>
    </row>
    <row r="134" spans="4:43" ht="14.25" customHeight="1">
      <c r="D134"/>
      <c r="E134"/>
      <c r="F134"/>
      <c r="G134"/>
      <c r="H134"/>
      <c r="I134"/>
      <c r="J134"/>
      <c r="K134"/>
      <c r="L134"/>
      <c r="M134"/>
      <c r="N134" s="46"/>
      <c r="O134"/>
      <c r="P134"/>
      <c r="Q134"/>
      <c r="R134"/>
      <c r="S134"/>
      <c r="T134"/>
      <c r="U134"/>
      <c r="V134"/>
      <c r="W134"/>
      <c r="X134"/>
      <c r="Y134"/>
      <c r="Z134"/>
      <c r="AA134"/>
      <c r="AB134" s="64"/>
      <c r="AQ134" s="47"/>
    </row>
    <row r="135" spans="4:43" ht="14.25" customHeight="1">
      <c r="D135"/>
      <c r="E135"/>
      <c r="F135"/>
      <c r="G135"/>
      <c r="H135"/>
      <c r="I135"/>
      <c r="J135"/>
      <c r="K135"/>
      <c r="L135"/>
      <c r="M135"/>
      <c r="N135" s="46"/>
      <c r="O135"/>
      <c r="P135"/>
      <c r="Q135"/>
      <c r="R135"/>
      <c r="S135"/>
      <c r="T135"/>
      <c r="U135"/>
      <c r="V135"/>
      <c r="W135"/>
      <c r="X135"/>
      <c r="Y135"/>
      <c r="Z135"/>
      <c r="AA135"/>
      <c r="AB135" s="64"/>
      <c r="AQ135" s="47"/>
    </row>
    <row r="136" spans="4:43" ht="14.25" customHeight="1">
      <c r="D136"/>
      <c r="E136"/>
      <c r="F136"/>
      <c r="G136"/>
      <c r="H136"/>
      <c r="I136"/>
      <c r="J136"/>
      <c r="K136"/>
      <c r="L136"/>
      <c r="M136"/>
      <c r="N136" s="46"/>
      <c r="O136"/>
      <c r="P136"/>
      <c r="Q136"/>
      <c r="R136"/>
      <c r="S136"/>
      <c r="T136"/>
      <c r="U136"/>
      <c r="V136"/>
      <c r="W136"/>
      <c r="X136"/>
      <c r="Y136"/>
      <c r="Z136"/>
      <c r="AA136"/>
      <c r="AB136" s="64"/>
      <c r="AQ136" s="47"/>
    </row>
    <row r="137" spans="4:43" ht="14.25" customHeight="1">
      <c r="D137"/>
      <c r="E137"/>
      <c r="F137"/>
      <c r="G137"/>
      <c r="H137"/>
      <c r="I137"/>
      <c r="J137"/>
      <c r="K137"/>
      <c r="L137"/>
      <c r="M137"/>
      <c r="N137" s="46"/>
      <c r="O137"/>
      <c r="P137"/>
      <c r="Q137"/>
      <c r="R137"/>
      <c r="S137"/>
      <c r="T137"/>
      <c r="U137"/>
      <c r="V137"/>
      <c r="W137"/>
      <c r="X137"/>
      <c r="Y137"/>
      <c r="Z137"/>
      <c r="AA137"/>
      <c r="AB137" s="64"/>
      <c r="AQ137" s="47"/>
    </row>
    <row r="138" spans="4:43" ht="14.25" customHeight="1">
      <c r="D138"/>
      <c r="E138"/>
      <c r="F138"/>
      <c r="G138"/>
      <c r="H138"/>
      <c r="I138"/>
      <c r="J138"/>
      <c r="K138"/>
      <c r="L138"/>
      <c r="M138"/>
      <c r="N138" s="46"/>
      <c r="O138"/>
      <c r="P138"/>
      <c r="Q138"/>
      <c r="R138"/>
      <c r="S138"/>
      <c r="T138"/>
      <c r="U138"/>
      <c r="V138"/>
      <c r="W138"/>
      <c r="X138"/>
      <c r="Y138"/>
      <c r="Z138"/>
      <c r="AA138"/>
      <c r="AB138" s="64"/>
      <c r="AQ138" s="47"/>
    </row>
    <row r="139" spans="4:43" ht="14.25" customHeight="1">
      <c r="D139"/>
      <c r="E139"/>
      <c r="F139"/>
      <c r="G139"/>
      <c r="H139"/>
      <c r="I139"/>
      <c r="J139"/>
      <c r="K139"/>
      <c r="L139"/>
      <c r="M139"/>
      <c r="N139" s="46"/>
      <c r="O139"/>
      <c r="P139"/>
      <c r="Q139"/>
      <c r="R139"/>
      <c r="S139"/>
      <c r="T139"/>
      <c r="U139"/>
      <c r="V139"/>
      <c r="W139"/>
      <c r="X139"/>
      <c r="Y139"/>
      <c r="Z139"/>
      <c r="AA139"/>
      <c r="AB139" s="64"/>
      <c r="AQ139" s="47"/>
    </row>
    <row r="140" spans="4:43" ht="14.25" customHeight="1">
      <c r="D140"/>
      <c r="E140"/>
      <c r="F140"/>
      <c r="G140"/>
      <c r="H140"/>
      <c r="I140"/>
      <c r="J140"/>
      <c r="K140"/>
      <c r="L140"/>
      <c r="M140"/>
      <c r="N140" s="46"/>
      <c r="O140"/>
      <c r="P140"/>
      <c r="Q140"/>
      <c r="R140"/>
      <c r="S140"/>
      <c r="T140"/>
      <c r="U140"/>
      <c r="V140"/>
      <c r="W140"/>
      <c r="X140"/>
      <c r="Y140"/>
      <c r="Z140"/>
      <c r="AA140"/>
      <c r="AB140" s="64"/>
      <c r="AQ140" s="47"/>
    </row>
    <row r="141" spans="4:43" ht="14.25" customHeight="1">
      <c r="D141"/>
      <c r="E141"/>
      <c r="F141"/>
      <c r="G141"/>
      <c r="H141"/>
      <c r="I141"/>
      <c r="J141"/>
      <c r="K141"/>
      <c r="L141"/>
      <c r="M141"/>
      <c r="N141" s="46"/>
      <c r="O141"/>
      <c r="P141"/>
      <c r="Q141"/>
      <c r="R141"/>
      <c r="S141"/>
      <c r="T141"/>
      <c r="U141"/>
      <c r="V141"/>
      <c r="W141"/>
      <c r="X141"/>
      <c r="Y141"/>
      <c r="Z141"/>
      <c r="AA141"/>
      <c r="AB141" s="64"/>
      <c r="AQ141" s="47"/>
    </row>
    <row r="142" spans="4:43" ht="14.25" customHeight="1">
      <c r="D142"/>
      <c r="E142"/>
      <c r="F142"/>
      <c r="G142"/>
      <c r="H142"/>
      <c r="I142"/>
      <c r="J142"/>
      <c r="K142"/>
      <c r="L142"/>
      <c r="M142"/>
      <c r="N142" s="46"/>
      <c r="O142"/>
      <c r="P142"/>
      <c r="Q142"/>
      <c r="R142"/>
      <c r="S142"/>
      <c r="T142"/>
      <c r="U142"/>
      <c r="V142"/>
      <c r="W142"/>
      <c r="X142"/>
      <c r="Y142"/>
      <c r="Z142"/>
      <c r="AA142"/>
      <c r="AB142" s="64"/>
      <c r="AQ142" s="47"/>
    </row>
    <row r="143" spans="4:43" ht="14.25" customHeight="1">
      <c r="D143"/>
      <c r="E143"/>
      <c r="F143"/>
      <c r="G143"/>
      <c r="H143"/>
      <c r="I143"/>
      <c r="J143"/>
      <c r="K143"/>
      <c r="L143"/>
      <c r="M143"/>
      <c r="N143" s="46"/>
      <c r="O143"/>
      <c r="P143"/>
      <c r="Q143"/>
      <c r="R143"/>
      <c r="S143"/>
      <c r="T143"/>
      <c r="U143"/>
      <c r="V143"/>
      <c r="W143"/>
      <c r="X143"/>
      <c r="Y143"/>
      <c r="Z143"/>
      <c r="AA143"/>
      <c r="AB143" s="64"/>
      <c r="AQ143" s="47"/>
    </row>
    <row r="144" spans="4:43" ht="14.25" customHeight="1">
      <c r="D144"/>
      <c r="E144"/>
      <c r="F144"/>
      <c r="G144"/>
      <c r="H144"/>
      <c r="I144"/>
      <c r="J144"/>
      <c r="K144"/>
      <c r="L144"/>
      <c r="M144"/>
      <c r="N144" s="46"/>
      <c r="O144"/>
      <c r="P144"/>
      <c r="Q144"/>
      <c r="R144"/>
      <c r="S144"/>
      <c r="T144"/>
      <c r="U144"/>
      <c r="V144"/>
      <c r="W144"/>
      <c r="X144"/>
      <c r="Y144"/>
      <c r="Z144"/>
      <c r="AA144"/>
      <c r="AB144" s="64"/>
      <c r="AQ144" s="47"/>
    </row>
    <row r="145" spans="4:43" ht="14.25" customHeight="1">
      <c r="D145"/>
      <c r="E145"/>
      <c r="F145"/>
      <c r="G145"/>
      <c r="H145"/>
      <c r="I145"/>
      <c r="J145"/>
      <c r="K145"/>
      <c r="L145"/>
      <c r="M145"/>
      <c r="N145" s="46"/>
      <c r="O145"/>
      <c r="P145"/>
      <c r="Q145"/>
      <c r="R145"/>
      <c r="S145"/>
      <c r="T145"/>
      <c r="U145"/>
      <c r="V145"/>
      <c r="W145"/>
      <c r="X145"/>
      <c r="Y145"/>
      <c r="Z145"/>
      <c r="AA145"/>
      <c r="AB145" s="64"/>
      <c r="AQ145" s="47"/>
    </row>
    <row r="146" spans="4:43" ht="14.25" customHeight="1">
      <c r="D146"/>
      <c r="E146"/>
      <c r="F146"/>
      <c r="G146"/>
      <c r="H146"/>
      <c r="I146"/>
      <c r="J146"/>
      <c r="K146"/>
      <c r="L146"/>
      <c r="M146"/>
      <c r="N146" s="46"/>
      <c r="O146"/>
      <c r="P146"/>
      <c r="Q146"/>
      <c r="R146"/>
      <c r="S146"/>
      <c r="T146"/>
      <c r="U146"/>
      <c r="V146"/>
      <c r="W146"/>
      <c r="X146"/>
      <c r="Y146"/>
      <c r="Z146"/>
      <c r="AA146"/>
      <c r="AB146" s="64"/>
      <c r="AQ146" s="47"/>
    </row>
    <row r="147" spans="4:43" ht="14.25" customHeight="1">
      <c r="D147"/>
      <c r="E147"/>
      <c r="F147"/>
      <c r="G147"/>
      <c r="H147"/>
      <c r="I147"/>
      <c r="J147"/>
      <c r="K147"/>
      <c r="L147"/>
      <c r="M147"/>
      <c r="N147" s="46"/>
      <c r="O147"/>
      <c r="P147"/>
      <c r="Q147"/>
      <c r="R147"/>
      <c r="S147"/>
      <c r="T147"/>
      <c r="U147"/>
      <c r="V147"/>
      <c r="W147"/>
      <c r="X147"/>
      <c r="Y147"/>
      <c r="Z147"/>
      <c r="AA147"/>
      <c r="AB147" s="64"/>
      <c r="AQ147" s="47"/>
    </row>
    <row r="148" spans="4:43" ht="14.25" customHeight="1">
      <c r="D148"/>
      <c r="E148"/>
      <c r="F148"/>
      <c r="G148"/>
      <c r="H148"/>
      <c r="I148"/>
      <c r="J148"/>
      <c r="K148"/>
      <c r="L148"/>
      <c r="M148"/>
      <c r="N148" s="46"/>
      <c r="O148"/>
      <c r="P148"/>
      <c r="Q148"/>
      <c r="R148"/>
      <c r="S148"/>
      <c r="T148"/>
      <c r="U148"/>
      <c r="V148"/>
      <c r="W148"/>
      <c r="X148"/>
      <c r="Y148"/>
      <c r="Z148"/>
      <c r="AA148"/>
      <c r="AB148" s="64"/>
      <c r="AQ148" s="47"/>
    </row>
    <row r="149" spans="4:43" ht="14.25" customHeight="1">
      <c r="D149"/>
      <c r="E149"/>
      <c r="F149"/>
      <c r="G149"/>
      <c r="H149"/>
      <c r="I149"/>
      <c r="J149"/>
      <c r="K149"/>
      <c r="L149"/>
      <c r="M149"/>
      <c r="N149" s="46"/>
      <c r="O149"/>
      <c r="P149"/>
      <c r="Q149"/>
      <c r="R149"/>
      <c r="S149"/>
      <c r="T149"/>
      <c r="U149"/>
      <c r="V149"/>
      <c r="W149"/>
      <c r="X149"/>
      <c r="Y149"/>
      <c r="Z149"/>
      <c r="AA149"/>
      <c r="AB149" s="64"/>
      <c r="AQ149" s="47"/>
    </row>
    <row r="150" spans="4:43" ht="14.25" customHeight="1">
      <c r="D150"/>
      <c r="E150"/>
      <c r="F150"/>
      <c r="G150"/>
      <c r="H150"/>
      <c r="I150"/>
      <c r="J150"/>
      <c r="K150"/>
      <c r="L150"/>
      <c r="M150"/>
      <c r="N150" s="46"/>
      <c r="O150"/>
      <c r="P150"/>
      <c r="Q150"/>
      <c r="R150"/>
      <c r="S150"/>
      <c r="T150"/>
      <c r="U150"/>
      <c r="V150"/>
      <c r="W150"/>
      <c r="X150"/>
      <c r="Y150"/>
      <c r="Z150"/>
      <c r="AA150"/>
      <c r="AB150" s="64"/>
      <c r="AQ150" s="47"/>
    </row>
    <row r="151" spans="4:43" ht="14.25" customHeight="1">
      <c r="D151"/>
      <c r="E151"/>
      <c r="F151"/>
      <c r="G151"/>
      <c r="H151"/>
      <c r="I151"/>
      <c r="J151"/>
      <c r="K151"/>
      <c r="L151"/>
      <c r="M151"/>
      <c r="N151" s="46"/>
      <c r="O151"/>
      <c r="P151"/>
      <c r="Q151"/>
      <c r="R151"/>
      <c r="S151"/>
      <c r="T151"/>
      <c r="U151"/>
      <c r="V151"/>
      <c r="W151"/>
      <c r="X151"/>
      <c r="Y151"/>
      <c r="Z151"/>
      <c r="AA151"/>
      <c r="AB151" s="64"/>
      <c r="AQ151" s="47"/>
    </row>
    <row r="152" spans="4:43" ht="14.25" customHeight="1">
      <c r="D152"/>
      <c r="E152"/>
      <c r="F152"/>
      <c r="G152"/>
      <c r="H152"/>
      <c r="I152"/>
      <c r="J152"/>
      <c r="K152"/>
      <c r="L152"/>
      <c r="M152"/>
      <c r="N152" s="46"/>
      <c r="O152"/>
      <c r="P152"/>
      <c r="Q152"/>
      <c r="R152"/>
      <c r="S152"/>
      <c r="T152"/>
      <c r="U152"/>
      <c r="V152"/>
      <c r="W152"/>
      <c r="X152"/>
      <c r="Y152"/>
      <c r="Z152"/>
      <c r="AA152"/>
      <c r="AB152" s="64"/>
      <c r="AQ152" s="47"/>
    </row>
    <row r="153" spans="4:43" ht="14.25" customHeight="1">
      <c r="D153"/>
      <c r="E153"/>
      <c r="F153"/>
      <c r="G153"/>
      <c r="H153"/>
      <c r="I153"/>
      <c r="J153"/>
      <c r="K153"/>
      <c r="L153"/>
      <c r="M153"/>
      <c r="N153" s="46"/>
      <c r="O153"/>
      <c r="P153"/>
      <c r="Q153"/>
      <c r="R153"/>
      <c r="S153"/>
      <c r="T153"/>
      <c r="U153"/>
      <c r="V153"/>
      <c r="W153"/>
      <c r="X153"/>
      <c r="Y153"/>
      <c r="Z153"/>
      <c r="AA153"/>
      <c r="AB153" s="64"/>
      <c r="AQ153" s="47"/>
    </row>
    <row r="154" spans="4:43" ht="14.25" customHeight="1">
      <c r="D154"/>
      <c r="E154"/>
      <c r="F154"/>
      <c r="G154"/>
      <c r="H154"/>
      <c r="I154"/>
      <c r="J154"/>
      <c r="K154"/>
      <c r="L154"/>
      <c r="M154"/>
      <c r="N154" s="46"/>
      <c r="O154"/>
      <c r="P154"/>
      <c r="Q154"/>
      <c r="R154"/>
      <c r="S154"/>
      <c r="T154"/>
      <c r="U154"/>
      <c r="V154"/>
      <c r="W154"/>
      <c r="X154"/>
      <c r="Y154"/>
      <c r="Z154"/>
      <c r="AA154"/>
      <c r="AB154" s="64"/>
      <c r="AQ154" s="47"/>
    </row>
    <row r="155" spans="4:43" ht="14.25" customHeight="1">
      <c r="D155"/>
      <c r="E155"/>
      <c r="F155"/>
      <c r="G155"/>
      <c r="H155"/>
      <c r="I155"/>
      <c r="J155"/>
      <c r="K155"/>
      <c r="L155"/>
      <c r="M155"/>
      <c r="N155" s="46"/>
      <c r="O155"/>
      <c r="P155"/>
      <c r="Q155"/>
      <c r="R155"/>
      <c r="S155"/>
      <c r="T155"/>
      <c r="U155"/>
      <c r="V155"/>
      <c r="W155"/>
      <c r="X155"/>
      <c r="Y155"/>
      <c r="Z155"/>
      <c r="AA155"/>
      <c r="AB155" s="64"/>
      <c r="AQ155" s="47"/>
    </row>
    <row r="156" spans="4:43" ht="14.25" customHeight="1">
      <c r="D156"/>
      <c r="E156"/>
      <c r="F156"/>
      <c r="G156"/>
      <c r="H156"/>
      <c r="I156"/>
      <c r="J156"/>
      <c r="K156"/>
      <c r="L156"/>
      <c r="M156"/>
      <c r="N156" s="46"/>
      <c r="O156"/>
      <c r="P156"/>
      <c r="Q156"/>
      <c r="R156"/>
      <c r="S156"/>
      <c r="T156"/>
      <c r="U156"/>
      <c r="V156"/>
      <c r="W156"/>
      <c r="X156"/>
      <c r="Y156"/>
      <c r="Z156"/>
      <c r="AA156"/>
      <c r="AB156" s="64"/>
      <c r="AQ156" s="47"/>
    </row>
    <row r="157" spans="4:43" ht="14.25" customHeight="1">
      <c r="D157"/>
      <c r="E157"/>
      <c r="F157"/>
      <c r="G157"/>
      <c r="H157"/>
      <c r="I157"/>
      <c r="J157"/>
      <c r="K157"/>
      <c r="L157"/>
      <c r="M157"/>
      <c r="N157" s="46"/>
      <c r="O157"/>
      <c r="P157"/>
      <c r="Q157"/>
      <c r="R157"/>
      <c r="S157"/>
      <c r="T157"/>
      <c r="U157"/>
      <c r="V157"/>
      <c r="W157"/>
      <c r="X157"/>
      <c r="Y157"/>
      <c r="Z157"/>
      <c r="AA157"/>
      <c r="AB157" s="64"/>
      <c r="AQ157" s="47"/>
    </row>
    <row r="158" spans="4:43" ht="14.25" customHeight="1">
      <c r="D158"/>
      <c r="E158"/>
      <c r="F158"/>
      <c r="G158"/>
      <c r="H158"/>
      <c r="I158"/>
      <c r="J158"/>
      <c r="K158"/>
      <c r="L158"/>
      <c r="M158"/>
      <c r="N158" s="46"/>
      <c r="O158"/>
      <c r="P158"/>
      <c r="Q158"/>
      <c r="R158"/>
      <c r="S158"/>
      <c r="T158"/>
      <c r="U158"/>
      <c r="V158"/>
      <c r="W158"/>
      <c r="X158"/>
      <c r="Y158"/>
      <c r="Z158"/>
      <c r="AA158"/>
      <c r="AB158" s="64"/>
      <c r="AQ158" s="47"/>
    </row>
    <row r="159" spans="4:43" ht="14.25" customHeight="1">
      <c r="D159"/>
      <c r="E159"/>
      <c r="F159"/>
      <c r="G159"/>
      <c r="H159"/>
      <c r="I159"/>
      <c r="J159"/>
      <c r="K159"/>
      <c r="L159"/>
      <c r="M159"/>
      <c r="N159" s="46"/>
      <c r="O159"/>
      <c r="P159"/>
      <c r="Q159"/>
      <c r="R159"/>
      <c r="S159"/>
      <c r="T159"/>
      <c r="U159"/>
      <c r="V159"/>
      <c r="W159"/>
      <c r="X159"/>
      <c r="Y159"/>
      <c r="Z159"/>
      <c r="AA159"/>
      <c r="AB159" s="64"/>
      <c r="AQ159" s="47"/>
    </row>
    <row r="160" spans="4:43" ht="14.25" customHeight="1">
      <c r="D160"/>
      <c r="E160"/>
      <c r="F160"/>
      <c r="G160"/>
      <c r="H160"/>
      <c r="I160"/>
      <c r="J160"/>
      <c r="K160"/>
      <c r="L160"/>
      <c r="M160"/>
      <c r="N160" s="46"/>
      <c r="O160"/>
      <c r="P160"/>
      <c r="Q160"/>
      <c r="R160"/>
      <c r="S160"/>
      <c r="T160"/>
      <c r="U160"/>
      <c r="V160"/>
      <c r="W160"/>
      <c r="X160"/>
      <c r="Y160"/>
      <c r="Z160"/>
      <c r="AA160"/>
      <c r="AB160" s="64"/>
      <c r="AQ160" s="47"/>
    </row>
    <row r="161" spans="4:43" ht="14.25" customHeight="1">
      <c r="D161"/>
      <c r="E161"/>
      <c r="F161"/>
      <c r="G161"/>
      <c r="H161"/>
      <c r="I161"/>
      <c r="J161"/>
      <c r="K161"/>
      <c r="L161"/>
      <c r="M161"/>
      <c r="N161" s="46"/>
      <c r="O161"/>
      <c r="P161"/>
      <c r="Q161"/>
      <c r="R161"/>
      <c r="S161"/>
      <c r="T161"/>
      <c r="U161"/>
      <c r="V161"/>
      <c r="W161"/>
      <c r="X161"/>
      <c r="Y161"/>
      <c r="Z161"/>
      <c r="AA161"/>
      <c r="AB161" s="64"/>
      <c r="AQ161" s="47"/>
    </row>
    <row r="162" spans="4:43" ht="14.25" customHeight="1">
      <c r="D162"/>
      <c r="E162"/>
      <c r="F162"/>
      <c r="G162"/>
      <c r="H162"/>
      <c r="I162"/>
      <c r="J162"/>
      <c r="K162"/>
      <c r="L162"/>
      <c r="M162"/>
      <c r="N162" s="46"/>
      <c r="O162"/>
      <c r="P162"/>
      <c r="Q162"/>
      <c r="R162"/>
      <c r="S162"/>
      <c r="T162"/>
      <c r="U162"/>
      <c r="V162"/>
      <c r="W162"/>
      <c r="X162"/>
      <c r="Y162"/>
      <c r="Z162"/>
      <c r="AA162"/>
      <c r="AB162" s="64"/>
      <c r="AQ162" s="47"/>
    </row>
    <row r="163" spans="4:43" ht="14.25" customHeight="1">
      <c r="D163"/>
      <c r="E163"/>
      <c r="F163"/>
      <c r="G163"/>
      <c r="H163"/>
      <c r="I163"/>
      <c r="J163"/>
      <c r="K163"/>
      <c r="L163"/>
      <c r="M163"/>
      <c r="N163" s="46"/>
      <c r="O163"/>
      <c r="P163"/>
      <c r="Q163"/>
      <c r="R163"/>
      <c r="S163"/>
      <c r="T163"/>
      <c r="U163"/>
      <c r="V163"/>
      <c r="W163"/>
      <c r="X163"/>
      <c r="Y163"/>
      <c r="Z163"/>
      <c r="AA163"/>
      <c r="AB163" s="64"/>
      <c r="AQ163" s="47"/>
    </row>
    <row r="164" spans="4:43" ht="14.25" customHeight="1">
      <c r="D164"/>
      <c r="E164"/>
      <c r="F164"/>
      <c r="G164"/>
      <c r="H164"/>
      <c r="I164"/>
      <c r="J164"/>
      <c r="K164"/>
      <c r="L164"/>
      <c r="M164"/>
      <c r="N164" s="46"/>
      <c r="O164"/>
      <c r="P164"/>
      <c r="Q164"/>
      <c r="R164"/>
      <c r="S164"/>
      <c r="T164"/>
      <c r="U164"/>
      <c r="V164"/>
      <c r="W164"/>
      <c r="X164"/>
      <c r="Y164"/>
      <c r="Z164"/>
      <c r="AA164"/>
      <c r="AB164" s="64"/>
      <c r="AQ164" s="47"/>
    </row>
    <row r="165" spans="4:43" ht="14.25" customHeight="1">
      <c r="D165"/>
      <c r="E165"/>
      <c r="F165"/>
      <c r="G165"/>
      <c r="H165"/>
      <c r="I165"/>
      <c r="J165"/>
      <c r="K165"/>
      <c r="L165"/>
      <c r="M165"/>
      <c r="N165" s="46"/>
      <c r="O165"/>
      <c r="P165"/>
      <c r="Q165"/>
      <c r="R165"/>
      <c r="S165"/>
      <c r="T165"/>
      <c r="U165"/>
      <c r="V165"/>
      <c r="W165"/>
      <c r="X165"/>
      <c r="Y165"/>
      <c r="Z165"/>
      <c r="AA165"/>
      <c r="AB165" s="64"/>
      <c r="AQ165" s="47"/>
    </row>
    <row r="166" spans="4:43" ht="14.25" customHeight="1">
      <c r="D166"/>
      <c r="E166"/>
      <c r="F166"/>
      <c r="G166"/>
      <c r="H166"/>
      <c r="I166"/>
      <c r="J166"/>
      <c r="K166"/>
      <c r="L166"/>
      <c r="M166"/>
      <c r="N166" s="46"/>
      <c r="O166"/>
      <c r="P166"/>
      <c r="Q166"/>
      <c r="R166"/>
      <c r="S166"/>
      <c r="T166"/>
      <c r="U166"/>
      <c r="V166"/>
      <c r="W166"/>
      <c r="X166"/>
      <c r="Y166"/>
      <c r="Z166"/>
      <c r="AA166"/>
      <c r="AB166" s="64"/>
      <c r="AQ166" s="47"/>
    </row>
    <row r="167" spans="4:43" ht="14.25" customHeight="1">
      <c r="D167"/>
      <c r="E167"/>
      <c r="F167"/>
      <c r="G167"/>
      <c r="H167"/>
      <c r="I167"/>
      <c r="J167"/>
      <c r="K167"/>
      <c r="L167"/>
      <c r="M167"/>
      <c r="N167" s="46"/>
      <c r="O167"/>
      <c r="P167"/>
      <c r="Q167"/>
      <c r="R167"/>
      <c r="S167"/>
      <c r="T167"/>
      <c r="U167"/>
      <c r="V167"/>
      <c r="W167"/>
      <c r="X167"/>
      <c r="Y167"/>
      <c r="Z167"/>
      <c r="AA167"/>
      <c r="AB167" s="64"/>
      <c r="AQ167" s="47"/>
    </row>
    <row r="168" spans="4:43" ht="14.25" customHeight="1">
      <c r="D168"/>
      <c r="E168"/>
      <c r="F168"/>
      <c r="G168"/>
      <c r="H168"/>
      <c r="I168"/>
      <c r="J168"/>
      <c r="K168"/>
      <c r="L168"/>
      <c r="M168"/>
      <c r="N168" s="46"/>
      <c r="O168"/>
      <c r="P168"/>
      <c r="Q168"/>
      <c r="R168"/>
      <c r="S168"/>
      <c r="T168"/>
      <c r="U168"/>
      <c r="V168"/>
      <c r="W168"/>
      <c r="X168"/>
      <c r="Y168"/>
      <c r="Z168"/>
      <c r="AA168"/>
      <c r="AB168" s="64"/>
      <c r="AQ168" s="47"/>
    </row>
    <row r="169" spans="4:43" ht="14.25" customHeight="1">
      <c r="D169"/>
      <c r="E169"/>
      <c r="F169"/>
      <c r="G169"/>
      <c r="H169"/>
      <c r="I169"/>
      <c r="J169"/>
      <c r="K169"/>
      <c r="L169"/>
      <c r="M169"/>
      <c r="N169" s="46"/>
      <c r="O169"/>
      <c r="P169"/>
      <c r="Q169"/>
      <c r="R169"/>
      <c r="S169"/>
      <c r="T169"/>
      <c r="U169"/>
      <c r="V169"/>
      <c r="W169"/>
      <c r="X169"/>
      <c r="Y169"/>
      <c r="Z169"/>
      <c r="AA169"/>
      <c r="AB169" s="64"/>
      <c r="AQ169" s="47"/>
    </row>
    <row r="170" spans="4:43" ht="14.25" customHeight="1">
      <c r="D170"/>
      <c r="E170"/>
      <c r="F170"/>
      <c r="G170"/>
      <c r="H170"/>
      <c r="I170"/>
      <c r="J170"/>
      <c r="K170"/>
      <c r="L170"/>
      <c r="M170"/>
      <c r="N170" s="46"/>
      <c r="O170"/>
      <c r="P170"/>
      <c r="Q170"/>
      <c r="R170"/>
      <c r="S170"/>
      <c r="T170"/>
      <c r="U170"/>
      <c r="V170"/>
      <c r="W170"/>
      <c r="X170"/>
      <c r="Y170"/>
      <c r="Z170"/>
      <c r="AA170"/>
      <c r="AB170" s="64"/>
      <c r="AQ170" s="47"/>
    </row>
    <row r="171" spans="4:43" ht="14.25" customHeight="1">
      <c r="D171"/>
      <c r="E171"/>
      <c r="F171"/>
      <c r="G171"/>
      <c r="H171"/>
      <c r="I171"/>
      <c r="J171"/>
      <c r="K171"/>
      <c r="L171"/>
      <c r="M171"/>
      <c r="N171" s="46"/>
      <c r="O171"/>
      <c r="P171"/>
      <c r="Q171"/>
      <c r="R171"/>
      <c r="S171"/>
      <c r="T171"/>
      <c r="U171"/>
      <c r="V171"/>
      <c r="W171"/>
      <c r="X171"/>
      <c r="Y171"/>
      <c r="Z171"/>
      <c r="AA171"/>
      <c r="AB171" s="64"/>
      <c r="AQ171" s="47"/>
    </row>
    <row r="172" spans="4:43" ht="14.25" customHeight="1">
      <c r="D172"/>
      <c r="E172"/>
      <c r="F172"/>
      <c r="G172"/>
      <c r="H172"/>
      <c r="I172"/>
      <c r="J172"/>
      <c r="K172"/>
      <c r="L172"/>
      <c r="M172"/>
      <c r="N172" s="46"/>
      <c r="O172"/>
      <c r="P172"/>
      <c r="Q172"/>
      <c r="R172"/>
      <c r="S172"/>
      <c r="T172"/>
      <c r="U172"/>
      <c r="V172"/>
      <c r="W172"/>
      <c r="X172"/>
      <c r="Y172"/>
      <c r="Z172"/>
      <c r="AA172"/>
      <c r="AB172" s="64"/>
      <c r="AQ172" s="47"/>
    </row>
    <row r="173" spans="4:43" ht="14.25" customHeight="1">
      <c r="D173"/>
      <c r="E173"/>
      <c r="F173"/>
      <c r="G173"/>
      <c r="H173"/>
      <c r="I173"/>
      <c r="J173"/>
      <c r="K173"/>
      <c r="L173"/>
      <c r="M173"/>
      <c r="N173" s="46"/>
      <c r="O173"/>
      <c r="P173"/>
      <c r="Q173"/>
      <c r="R173"/>
      <c r="S173"/>
      <c r="T173"/>
      <c r="U173"/>
      <c r="V173"/>
      <c r="W173"/>
      <c r="X173"/>
      <c r="Y173"/>
      <c r="Z173"/>
      <c r="AA173"/>
      <c r="AB173" s="64"/>
      <c r="AQ173" s="47"/>
    </row>
    <row r="174" spans="4:43" ht="14.25" customHeight="1">
      <c r="D174"/>
      <c r="E174"/>
      <c r="F174"/>
      <c r="G174"/>
      <c r="H174"/>
      <c r="I174"/>
      <c r="J174"/>
      <c r="K174"/>
      <c r="L174"/>
      <c r="M174"/>
      <c r="N174" s="46"/>
      <c r="O174"/>
      <c r="P174"/>
      <c r="Q174"/>
      <c r="R174"/>
      <c r="S174"/>
      <c r="T174"/>
      <c r="U174"/>
      <c r="V174"/>
      <c r="W174"/>
      <c r="X174"/>
      <c r="Y174"/>
      <c r="Z174"/>
      <c r="AA174"/>
      <c r="AB174" s="64"/>
      <c r="AQ174" s="47"/>
    </row>
    <row r="175" spans="4:43" ht="14.25" customHeight="1">
      <c r="D175"/>
      <c r="E175"/>
      <c r="F175"/>
      <c r="G175"/>
      <c r="H175"/>
      <c r="I175"/>
      <c r="J175"/>
      <c r="K175"/>
      <c r="L175"/>
      <c r="M175"/>
      <c r="N175" s="46"/>
      <c r="O175"/>
      <c r="P175"/>
      <c r="Q175"/>
      <c r="R175"/>
      <c r="S175"/>
      <c r="T175"/>
      <c r="U175"/>
      <c r="V175"/>
      <c r="W175"/>
      <c r="X175"/>
      <c r="Y175"/>
      <c r="Z175"/>
      <c r="AA175"/>
      <c r="AB175" s="64"/>
      <c r="AQ175" s="47"/>
    </row>
    <row r="176" spans="4:43" ht="14.25" customHeight="1">
      <c r="D176"/>
      <c r="E176"/>
      <c r="F176"/>
      <c r="G176"/>
      <c r="H176"/>
      <c r="I176"/>
      <c r="J176"/>
      <c r="K176"/>
      <c r="L176"/>
      <c r="M176"/>
      <c r="N176" s="46"/>
      <c r="O176"/>
      <c r="P176"/>
      <c r="Q176"/>
      <c r="R176"/>
      <c r="S176"/>
      <c r="T176"/>
      <c r="U176"/>
      <c r="V176"/>
      <c r="W176"/>
      <c r="X176"/>
      <c r="Y176"/>
      <c r="Z176"/>
      <c r="AA176"/>
      <c r="AB176" s="64"/>
      <c r="AQ176" s="47"/>
    </row>
    <row r="177" spans="4:43" ht="14.25" customHeight="1">
      <c r="D177"/>
      <c r="E177"/>
      <c r="F177"/>
      <c r="G177"/>
      <c r="H177"/>
      <c r="I177"/>
      <c r="J177"/>
      <c r="K177"/>
      <c r="L177"/>
      <c r="M177"/>
      <c r="N177" s="46"/>
      <c r="O177"/>
      <c r="P177"/>
      <c r="Q177"/>
      <c r="R177"/>
      <c r="S177"/>
      <c r="T177"/>
      <c r="U177"/>
      <c r="V177"/>
      <c r="W177"/>
      <c r="X177"/>
      <c r="Y177"/>
      <c r="Z177"/>
      <c r="AA177"/>
      <c r="AB177" s="64"/>
      <c r="AQ177" s="47"/>
    </row>
    <row r="178" spans="4:43" ht="14.25" customHeight="1">
      <c r="D178"/>
      <c r="E178"/>
      <c r="F178"/>
      <c r="G178"/>
      <c r="H178"/>
      <c r="I178"/>
      <c r="J178"/>
      <c r="K178"/>
      <c r="L178"/>
      <c r="M178"/>
      <c r="N178" s="46"/>
      <c r="O178"/>
      <c r="P178"/>
      <c r="Q178"/>
      <c r="R178"/>
      <c r="S178"/>
      <c r="T178"/>
      <c r="U178"/>
      <c r="V178"/>
      <c r="W178"/>
      <c r="X178"/>
      <c r="Y178"/>
      <c r="Z178"/>
      <c r="AA178"/>
      <c r="AB178" s="64"/>
      <c r="AQ178" s="47"/>
    </row>
    <row r="179" spans="4:43" ht="14.25" customHeight="1">
      <c r="D179"/>
      <c r="E179"/>
      <c r="F179"/>
      <c r="G179"/>
      <c r="H179"/>
      <c r="I179"/>
      <c r="J179"/>
      <c r="K179"/>
      <c r="L179"/>
      <c r="M179"/>
      <c r="N179" s="46"/>
      <c r="O179"/>
      <c r="P179"/>
      <c r="Q179"/>
      <c r="R179"/>
      <c r="S179"/>
      <c r="T179"/>
      <c r="U179"/>
      <c r="V179"/>
      <c r="W179"/>
      <c r="X179"/>
      <c r="Y179"/>
      <c r="Z179"/>
      <c r="AA179"/>
      <c r="AB179" s="64"/>
      <c r="AQ179" s="47"/>
    </row>
    <row r="180" spans="4:43" ht="14.25" customHeight="1">
      <c r="D180"/>
      <c r="E180"/>
      <c r="F180"/>
      <c r="G180"/>
      <c r="H180"/>
      <c r="I180"/>
      <c r="J180"/>
      <c r="K180"/>
      <c r="L180"/>
      <c r="M180"/>
      <c r="N180" s="46"/>
      <c r="O180"/>
      <c r="P180"/>
      <c r="Q180"/>
      <c r="R180"/>
      <c r="S180"/>
      <c r="T180"/>
      <c r="U180"/>
      <c r="V180"/>
      <c r="W180"/>
      <c r="X180"/>
      <c r="Y180"/>
      <c r="Z180"/>
      <c r="AA180"/>
      <c r="AB180" s="64"/>
      <c r="AQ180" s="47"/>
    </row>
    <row r="181" spans="4:43" ht="14.25" customHeight="1">
      <c r="D181"/>
      <c r="E181"/>
      <c r="F181"/>
      <c r="G181"/>
      <c r="H181"/>
      <c r="I181"/>
      <c r="J181"/>
      <c r="K181"/>
      <c r="L181"/>
      <c r="M181"/>
      <c r="N181" s="46"/>
      <c r="O181"/>
      <c r="P181"/>
      <c r="Q181"/>
      <c r="R181"/>
      <c r="S181"/>
      <c r="T181"/>
      <c r="U181"/>
      <c r="V181"/>
      <c r="W181"/>
      <c r="X181"/>
      <c r="Y181"/>
      <c r="Z181"/>
      <c r="AA181"/>
      <c r="AB181" s="64"/>
      <c r="AQ181" s="47"/>
    </row>
    <row r="182" spans="4:43" ht="14.25" customHeight="1">
      <c r="D182"/>
      <c r="E182"/>
      <c r="F182"/>
      <c r="G182"/>
      <c r="H182"/>
      <c r="I182"/>
      <c r="J182"/>
      <c r="K182"/>
      <c r="L182"/>
      <c r="M182"/>
      <c r="N182" s="46"/>
      <c r="O182"/>
      <c r="P182"/>
      <c r="Q182"/>
      <c r="R182"/>
      <c r="S182"/>
      <c r="T182"/>
      <c r="U182"/>
      <c r="V182"/>
      <c r="W182"/>
      <c r="X182"/>
      <c r="Y182"/>
      <c r="Z182"/>
      <c r="AA182"/>
      <c r="AB182" s="64"/>
      <c r="AQ182" s="47"/>
    </row>
    <row r="183" spans="4:43" ht="14.25" customHeight="1">
      <c r="D183"/>
      <c r="E183"/>
      <c r="F183"/>
      <c r="G183"/>
      <c r="H183"/>
      <c r="I183"/>
      <c r="J183"/>
      <c r="K183"/>
      <c r="L183"/>
      <c r="M183"/>
      <c r="N183" s="46"/>
      <c r="O183"/>
      <c r="P183"/>
      <c r="Q183"/>
      <c r="R183"/>
      <c r="S183"/>
      <c r="T183"/>
      <c r="U183"/>
      <c r="V183"/>
      <c r="W183"/>
      <c r="X183"/>
      <c r="Y183"/>
      <c r="Z183"/>
      <c r="AA183"/>
      <c r="AB183" s="64"/>
      <c r="AQ183" s="47"/>
    </row>
    <row r="184" spans="4:43" ht="14.25" customHeight="1">
      <c r="D184"/>
      <c r="E184"/>
      <c r="F184"/>
      <c r="G184"/>
      <c r="H184"/>
      <c r="I184"/>
      <c r="J184"/>
      <c r="K184"/>
      <c r="L184"/>
      <c r="M184"/>
      <c r="N184" s="46"/>
      <c r="O184"/>
      <c r="P184"/>
      <c r="Q184"/>
      <c r="R184"/>
      <c r="S184"/>
      <c r="T184"/>
      <c r="U184"/>
      <c r="V184"/>
      <c r="W184"/>
      <c r="X184"/>
      <c r="Y184"/>
      <c r="Z184"/>
      <c r="AA184"/>
      <c r="AB184" s="64"/>
      <c r="AQ184" s="47"/>
    </row>
    <row r="185" spans="4:43" ht="14.25" customHeight="1">
      <c r="D185"/>
      <c r="E185"/>
      <c r="F185"/>
      <c r="G185"/>
      <c r="H185"/>
      <c r="I185"/>
      <c r="J185"/>
      <c r="K185"/>
      <c r="L185"/>
      <c r="M185"/>
      <c r="N185" s="46"/>
      <c r="O185"/>
      <c r="P185"/>
      <c r="Q185"/>
      <c r="R185"/>
      <c r="S185"/>
      <c r="T185"/>
      <c r="U185"/>
      <c r="V185"/>
      <c r="W185"/>
      <c r="X185"/>
      <c r="Y185"/>
      <c r="Z185"/>
      <c r="AA185"/>
      <c r="AB185" s="64"/>
      <c r="AQ185" s="47"/>
    </row>
    <row r="186" spans="4:43" ht="14.25" customHeight="1">
      <c r="D186"/>
      <c r="E186"/>
      <c r="F186"/>
      <c r="G186"/>
      <c r="H186"/>
      <c r="I186"/>
      <c r="J186"/>
      <c r="K186"/>
      <c r="L186"/>
      <c r="M186"/>
      <c r="N186" s="46"/>
      <c r="O186"/>
      <c r="P186"/>
      <c r="Q186"/>
      <c r="R186"/>
      <c r="S186"/>
      <c r="T186"/>
      <c r="U186"/>
      <c r="V186"/>
      <c r="W186"/>
      <c r="X186"/>
      <c r="Y186"/>
      <c r="Z186"/>
      <c r="AA186"/>
      <c r="AB186" s="64"/>
      <c r="AQ186" s="47"/>
    </row>
    <row r="187" spans="4:43" ht="14.25" customHeight="1">
      <c r="D187"/>
      <c r="E187"/>
      <c r="F187"/>
      <c r="G187"/>
      <c r="H187"/>
      <c r="I187"/>
      <c r="J187"/>
      <c r="K187"/>
      <c r="L187"/>
      <c r="M187"/>
      <c r="N187" s="46"/>
      <c r="O187"/>
      <c r="P187"/>
      <c r="Q187"/>
      <c r="R187"/>
      <c r="S187"/>
      <c r="T187"/>
      <c r="U187"/>
      <c r="V187"/>
      <c r="W187"/>
      <c r="X187"/>
      <c r="Y187"/>
      <c r="Z187"/>
      <c r="AA187"/>
      <c r="AB187" s="64"/>
      <c r="AQ187" s="47"/>
    </row>
    <row r="188" spans="4:43" ht="14.25" customHeight="1">
      <c r="D188"/>
      <c r="E188"/>
      <c r="F188"/>
      <c r="G188"/>
      <c r="H188"/>
      <c r="I188"/>
      <c r="J188"/>
      <c r="K188"/>
      <c r="L188"/>
      <c r="M188"/>
      <c r="N188" s="46"/>
      <c r="O188"/>
      <c r="P188"/>
      <c r="Q188"/>
      <c r="R188"/>
      <c r="S188"/>
      <c r="T188"/>
      <c r="U188"/>
      <c r="V188"/>
      <c r="W188"/>
      <c r="X188"/>
      <c r="Y188"/>
      <c r="Z188"/>
      <c r="AA188"/>
      <c r="AB188" s="64"/>
      <c r="AQ188" s="47"/>
    </row>
    <row r="189" spans="4:43" ht="14.25" customHeight="1">
      <c r="D189"/>
      <c r="E189"/>
      <c r="F189"/>
      <c r="G189"/>
      <c r="H189"/>
      <c r="I189"/>
      <c r="J189"/>
      <c r="K189"/>
      <c r="L189"/>
      <c r="M189"/>
      <c r="N189" s="46"/>
      <c r="O189"/>
      <c r="P189"/>
      <c r="Q189"/>
      <c r="R189"/>
      <c r="S189"/>
      <c r="T189"/>
      <c r="U189"/>
      <c r="V189"/>
      <c r="W189"/>
      <c r="X189"/>
      <c r="Y189"/>
      <c r="Z189"/>
      <c r="AA189"/>
      <c r="AB189" s="64"/>
      <c r="AQ189" s="47"/>
    </row>
    <row r="190" spans="4:43" ht="14.25" customHeight="1">
      <c r="D190"/>
      <c r="E190"/>
      <c r="F190"/>
      <c r="G190"/>
      <c r="H190"/>
      <c r="I190"/>
      <c r="J190"/>
      <c r="K190"/>
      <c r="L190"/>
      <c r="M190"/>
      <c r="N190" s="46"/>
      <c r="O190"/>
      <c r="P190"/>
      <c r="Q190"/>
      <c r="R190"/>
      <c r="S190"/>
      <c r="T190"/>
      <c r="U190"/>
      <c r="V190"/>
      <c r="W190"/>
      <c r="X190"/>
      <c r="Y190"/>
      <c r="Z190"/>
      <c r="AA190"/>
      <c r="AB190" s="64"/>
      <c r="AQ190" s="47"/>
    </row>
    <row r="191" spans="4:43" ht="14.25" customHeight="1">
      <c r="D191"/>
      <c r="E191"/>
      <c r="F191"/>
      <c r="G191"/>
      <c r="H191"/>
      <c r="I191"/>
      <c r="J191"/>
      <c r="K191"/>
      <c r="L191"/>
      <c r="M191"/>
      <c r="N191" s="46"/>
      <c r="O191"/>
      <c r="P191"/>
      <c r="Q191"/>
      <c r="R191"/>
      <c r="S191"/>
      <c r="T191"/>
      <c r="U191"/>
      <c r="V191"/>
      <c r="W191"/>
      <c r="X191"/>
      <c r="Y191"/>
      <c r="Z191"/>
      <c r="AA191"/>
      <c r="AB191" s="64"/>
      <c r="AQ191" s="47"/>
    </row>
    <row r="192" spans="4:43" ht="14.25" customHeight="1">
      <c r="D192"/>
      <c r="E192"/>
      <c r="F192"/>
      <c r="G192"/>
      <c r="H192"/>
      <c r="I192"/>
      <c r="J192"/>
      <c r="K192"/>
      <c r="L192"/>
      <c r="M192"/>
      <c r="N192" s="46"/>
      <c r="O192"/>
      <c r="P192"/>
      <c r="Q192"/>
      <c r="R192"/>
      <c r="S192"/>
      <c r="T192"/>
      <c r="U192"/>
      <c r="V192"/>
      <c r="W192"/>
      <c r="X192"/>
      <c r="Y192"/>
      <c r="Z192"/>
      <c r="AA192"/>
      <c r="AB192" s="64"/>
      <c r="AQ192" s="47"/>
    </row>
    <row r="193" spans="4:43" ht="14.25" customHeight="1">
      <c r="D193"/>
      <c r="E193"/>
      <c r="F193"/>
      <c r="G193"/>
      <c r="H193"/>
      <c r="I193"/>
      <c r="J193"/>
      <c r="K193"/>
      <c r="L193"/>
      <c r="M193"/>
      <c r="N193" s="46"/>
      <c r="O193"/>
      <c r="P193"/>
      <c r="Q193"/>
      <c r="R193"/>
      <c r="S193"/>
      <c r="T193"/>
      <c r="U193"/>
      <c r="V193"/>
      <c r="W193"/>
      <c r="X193"/>
      <c r="Y193"/>
      <c r="Z193"/>
      <c r="AA193"/>
      <c r="AB193" s="64"/>
      <c r="AQ193" s="47"/>
    </row>
    <row r="194" spans="4:43" ht="14.25" customHeight="1">
      <c r="D194"/>
      <c r="E194"/>
      <c r="F194"/>
      <c r="G194"/>
      <c r="H194"/>
      <c r="I194"/>
      <c r="J194"/>
      <c r="K194"/>
      <c r="L194"/>
      <c r="M194"/>
      <c r="N194" s="46"/>
      <c r="O194"/>
      <c r="P194"/>
      <c r="Q194"/>
      <c r="R194"/>
      <c r="S194"/>
      <c r="T194"/>
      <c r="U194"/>
      <c r="V194"/>
      <c r="W194"/>
      <c r="X194"/>
      <c r="Y194"/>
      <c r="Z194"/>
      <c r="AA194"/>
      <c r="AB194" s="64"/>
      <c r="AQ194" s="47"/>
    </row>
    <row r="195" spans="4:43" ht="14.25" customHeight="1">
      <c r="D195"/>
      <c r="E195"/>
      <c r="F195"/>
      <c r="G195"/>
      <c r="H195"/>
      <c r="I195"/>
      <c r="J195"/>
      <c r="K195"/>
      <c r="L195"/>
      <c r="M195"/>
      <c r="N195" s="46"/>
      <c r="O195"/>
      <c r="P195"/>
      <c r="Q195"/>
      <c r="R195"/>
      <c r="S195"/>
      <c r="T195"/>
      <c r="U195"/>
      <c r="V195"/>
      <c r="W195"/>
      <c r="X195"/>
      <c r="Y195"/>
      <c r="Z195"/>
      <c r="AA195"/>
      <c r="AB195" s="64"/>
      <c r="AQ195" s="47"/>
    </row>
    <row r="196" spans="4:43" ht="14.25" customHeight="1">
      <c r="D196"/>
      <c r="E196"/>
      <c r="F196"/>
      <c r="G196"/>
      <c r="H196"/>
      <c r="I196"/>
      <c r="J196"/>
      <c r="K196"/>
      <c r="L196"/>
      <c r="M196"/>
      <c r="N196" s="46"/>
      <c r="O196"/>
      <c r="P196"/>
      <c r="Q196"/>
      <c r="R196"/>
      <c r="S196"/>
      <c r="T196"/>
      <c r="U196"/>
      <c r="V196"/>
      <c r="W196"/>
      <c r="X196"/>
      <c r="Y196"/>
      <c r="Z196"/>
      <c r="AA196"/>
      <c r="AB196" s="64"/>
      <c r="AQ196" s="47"/>
    </row>
    <row r="197" spans="4:43" ht="14.25" customHeight="1">
      <c r="D197"/>
      <c r="E197"/>
      <c r="F197"/>
      <c r="G197"/>
      <c r="H197"/>
      <c r="I197"/>
      <c r="J197"/>
      <c r="K197"/>
      <c r="L197"/>
      <c r="M197"/>
      <c r="N197" s="46"/>
      <c r="O197"/>
      <c r="P197"/>
      <c r="Q197"/>
      <c r="R197"/>
      <c r="S197"/>
      <c r="T197"/>
      <c r="U197"/>
      <c r="V197"/>
      <c r="W197"/>
      <c r="X197"/>
      <c r="Y197"/>
      <c r="Z197"/>
      <c r="AA197"/>
      <c r="AB197" s="64"/>
      <c r="AQ197" s="47"/>
    </row>
    <row r="198" spans="4:43" ht="14.25" customHeight="1">
      <c r="D198"/>
      <c r="E198"/>
      <c r="F198"/>
      <c r="G198"/>
      <c r="H198"/>
      <c r="I198"/>
      <c r="J198"/>
      <c r="K198"/>
      <c r="L198"/>
      <c r="M198"/>
      <c r="N198" s="46"/>
      <c r="O198"/>
      <c r="P198"/>
      <c r="Q198"/>
      <c r="R198"/>
      <c r="S198"/>
      <c r="T198"/>
      <c r="U198"/>
      <c r="V198"/>
      <c r="W198"/>
      <c r="X198"/>
      <c r="Y198"/>
      <c r="Z198"/>
      <c r="AA198"/>
      <c r="AB198" s="64"/>
      <c r="AQ198" s="47"/>
    </row>
    <row r="199" spans="4:43" ht="14.25" customHeight="1">
      <c r="D199"/>
      <c r="E199"/>
      <c r="F199"/>
      <c r="G199"/>
      <c r="H199"/>
      <c r="I199"/>
      <c r="J199"/>
      <c r="K199"/>
      <c r="L199"/>
      <c r="M199"/>
      <c r="N199" s="46"/>
      <c r="O199"/>
      <c r="P199"/>
      <c r="Q199"/>
      <c r="R199"/>
      <c r="S199"/>
      <c r="T199"/>
      <c r="U199"/>
      <c r="V199"/>
      <c r="W199"/>
      <c r="X199"/>
      <c r="Y199"/>
      <c r="Z199"/>
      <c r="AA199"/>
      <c r="AB199" s="64"/>
      <c r="AQ199" s="47"/>
    </row>
    <row r="200" spans="4:43" ht="14.25" customHeight="1">
      <c r="D200"/>
      <c r="E200"/>
      <c r="F200"/>
      <c r="G200"/>
      <c r="H200"/>
      <c r="I200"/>
      <c r="J200"/>
      <c r="K200"/>
      <c r="L200"/>
      <c r="M200"/>
      <c r="N200" s="46"/>
      <c r="O200"/>
      <c r="P200"/>
      <c r="Q200"/>
      <c r="R200"/>
      <c r="S200"/>
      <c r="T200"/>
      <c r="U200"/>
      <c r="V200"/>
      <c r="W200"/>
      <c r="X200"/>
      <c r="Y200"/>
      <c r="Z200"/>
      <c r="AA200"/>
      <c r="AB200" s="64"/>
      <c r="AQ200" s="47"/>
    </row>
    <row r="201" spans="4:43" ht="14.25" customHeight="1">
      <c r="D201"/>
      <c r="E201"/>
      <c r="F201"/>
      <c r="G201"/>
      <c r="H201"/>
      <c r="I201"/>
      <c r="J201"/>
      <c r="K201"/>
      <c r="L201"/>
      <c r="M201"/>
      <c r="N201" s="46"/>
      <c r="O201"/>
      <c r="P201"/>
      <c r="Q201"/>
      <c r="R201"/>
      <c r="S201"/>
      <c r="T201"/>
      <c r="U201"/>
      <c r="V201"/>
      <c r="W201"/>
      <c r="X201"/>
      <c r="Y201"/>
      <c r="Z201"/>
      <c r="AA201"/>
      <c r="AB201" s="64"/>
      <c r="AQ201" s="47"/>
    </row>
    <row r="202" spans="4:43" ht="14.25" customHeight="1">
      <c r="D202"/>
      <c r="E202"/>
      <c r="F202"/>
      <c r="G202"/>
      <c r="H202"/>
      <c r="I202"/>
      <c r="J202"/>
      <c r="K202"/>
      <c r="L202"/>
      <c r="M202"/>
      <c r="N202" s="46"/>
      <c r="O202"/>
      <c r="P202"/>
      <c r="Q202"/>
      <c r="R202"/>
      <c r="S202"/>
      <c r="T202"/>
      <c r="U202"/>
      <c r="V202"/>
      <c r="W202"/>
      <c r="X202"/>
      <c r="Y202"/>
      <c r="Z202"/>
      <c r="AA202"/>
      <c r="AB202" s="64"/>
      <c r="AQ202" s="47"/>
    </row>
    <row r="203" spans="4:43" ht="14.25" customHeight="1">
      <c r="D203"/>
      <c r="E203"/>
      <c r="F203"/>
      <c r="G203"/>
      <c r="H203"/>
      <c r="I203"/>
      <c r="J203"/>
      <c r="K203"/>
      <c r="L203"/>
      <c r="M203"/>
      <c r="N203" s="46"/>
      <c r="O203"/>
      <c r="P203"/>
      <c r="Q203"/>
      <c r="R203"/>
      <c r="S203"/>
      <c r="T203"/>
      <c r="U203"/>
      <c r="V203"/>
      <c r="W203"/>
      <c r="X203"/>
      <c r="Y203"/>
      <c r="Z203"/>
      <c r="AA203"/>
      <c r="AB203" s="64"/>
      <c r="AQ203" s="47"/>
    </row>
    <row r="204" spans="4:43" ht="14.25" customHeight="1">
      <c r="D204"/>
      <c r="E204"/>
      <c r="F204"/>
      <c r="G204"/>
      <c r="H204"/>
      <c r="I204"/>
      <c r="J204"/>
      <c r="K204"/>
      <c r="L204"/>
      <c r="M204"/>
      <c r="N204" s="46"/>
      <c r="O204"/>
      <c r="P204"/>
      <c r="Q204"/>
      <c r="R204"/>
      <c r="S204"/>
      <c r="T204"/>
      <c r="U204"/>
      <c r="V204"/>
      <c r="W204"/>
      <c r="X204"/>
      <c r="Y204"/>
      <c r="Z204"/>
      <c r="AA204"/>
      <c r="AB204" s="64"/>
      <c r="AQ204" s="47"/>
    </row>
    <row r="205" spans="4:43" ht="14.25" customHeight="1">
      <c r="D205"/>
      <c r="E205"/>
      <c r="F205"/>
      <c r="G205"/>
      <c r="H205"/>
      <c r="I205"/>
      <c r="J205"/>
      <c r="K205"/>
      <c r="L205"/>
      <c r="M205"/>
      <c r="N205" s="46"/>
      <c r="O205"/>
      <c r="P205"/>
      <c r="Q205"/>
      <c r="R205"/>
      <c r="S205"/>
      <c r="T205"/>
      <c r="U205"/>
      <c r="V205"/>
      <c r="W205"/>
      <c r="X205"/>
      <c r="Y205"/>
      <c r="Z205"/>
      <c r="AA205"/>
      <c r="AB205" s="64"/>
      <c r="AQ205" s="47"/>
    </row>
    <row r="206" spans="4:43" ht="14.25" customHeight="1">
      <c r="D206"/>
      <c r="E206"/>
      <c r="F206"/>
      <c r="G206"/>
      <c r="H206"/>
      <c r="I206"/>
      <c r="J206"/>
      <c r="K206"/>
      <c r="L206"/>
      <c r="M206"/>
      <c r="N206" s="46"/>
      <c r="O206"/>
      <c r="P206"/>
      <c r="Q206"/>
      <c r="R206"/>
      <c r="S206"/>
      <c r="T206"/>
      <c r="U206"/>
      <c r="V206"/>
      <c r="W206"/>
      <c r="X206"/>
      <c r="Y206"/>
      <c r="Z206"/>
      <c r="AA206"/>
      <c r="AB206" s="64"/>
      <c r="AQ206" s="47"/>
    </row>
    <row r="207" spans="4:43" ht="14.25" customHeight="1">
      <c r="D207"/>
      <c r="E207"/>
      <c r="F207"/>
      <c r="G207"/>
      <c r="H207"/>
      <c r="I207"/>
      <c r="J207"/>
      <c r="K207"/>
      <c r="L207"/>
      <c r="M207"/>
      <c r="N207" s="46"/>
      <c r="O207"/>
      <c r="P207"/>
      <c r="Q207"/>
      <c r="R207"/>
      <c r="S207"/>
      <c r="T207"/>
      <c r="U207"/>
      <c r="V207"/>
      <c r="W207"/>
      <c r="X207"/>
      <c r="Y207"/>
      <c r="Z207"/>
      <c r="AA207"/>
      <c r="AB207" s="64"/>
      <c r="AQ207" s="47"/>
    </row>
    <row r="208" spans="4:43" ht="14.25" customHeight="1">
      <c r="D208"/>
      <c r="E208"/>
      <c r="F208"/>
      <c r="G208"/>
      <c r="H208"/>
      <c r="I208"/>
      <c r="J208"/>
      <c r="K208"/>
      <c r="L208"/>
      <c r="M208"/>
      <c r="N208" s="46"/>
      <c r="O208"/>
      <c r="P208"/>
      <c r="Q208"/>
      <c r="R208"/>
      <c r="S208"/>
      <c r="T208"/>
      <c r="U208"/>
      <c r="V208"/>
      <c r="W208"/>
      <c r="X208"/>
      <c r="Y208"/>
      <c r="Z208"/>
      <c r="AA208"/>
      <c r="AB208" s="64"/>
      <c r="AQ208" s="47"/>
    </row>
    <row r="209" spans="4:43" ht="14.25" customHeight="1">
      <c r="D209"/>
      <c r="E209"/>
      <c r="F209"/>
      <c r="G209"/>
      <c r="H209"/>
      <c r="I209"/>
      <c r="J209"/>
      <c r="K209"/>
      <c r="L209"/>
      <c r="M209"/>
      <c r="N209" s="46"/>
      <c r="O209"/>
      <c r="P209"/>
      <c r="Q209"/>
      <c r="R209"/>
      <c r="S209"/>
      <c r="T209"/>
      <c r="U209"/>
      <c r="V209"/>
      <c r="W209"/>
      <c r="X209"/>
      <c r="Y209"/>
      <c r="Z209"/>
      <c r="AA209"/>
      <c r="AB209" s="64"/>
      <c r="AQ209" s="47"/>
    </row>
    <row r="210" spans="4:43" ht="14.25" customHeight="1">
      <c r="D210"/>
      <c r="E210"/>
      <c r="F210"/>
      <c r="G210"/>
      <c r="H210"/>
      <c r="I210"/>
      <c r="J210"/>
      <c r="K210"/>
      <c r="L210"/>
      <c r="M210"/>
      <c r="N210" s="46"/>
      <c r="O210"/>
      <c r="P210"/>
      <c r="Q210"/>
      <c r="R210"/>
      <c r="S210"/>
      <c r="T210"/>
      <c r="U210"/>
      <c r="V210"/>
      <c r="W210"/>
      <c r="X210"/>
      <c r="Y210"/>
      <c r="Z210"/>
      <c r="AA210"/>
      <c r="AB210" s="64"/>
      <c r="AQ210" s="47"/>
    </row>
    <row r="211" spans="4:43" ht="14.25" customHeight="1">
      <c r="D211"/>
      <c r="E211"/>
      <c r="F211"/>
      <c r="G211"/>
      <c r="H211"/>
      <c r="I211"/>
      <c r="J211"/>
      <c r="K211"/>
      <c r="L211"/>
      <c r="M211"/>
      <c r="N211" s="46"/>
      <c r="O211"/>
      <c r="P211"/>
      <c r="Q211"/>
      <c r="R211"/>
      <c r="S211"/>
      <c r="T211"/>
      <c r="U211"/>
      <c r="V211"/>
      <c r="W211"/>
      <c r="X211"/>
      <c r="Y211"/>
      <c r="Z211"/>
      <c r="AA211"/>
      <c r="AB211" s="64"/>
      <c r="AQ211" s="47"/>
    </row>
    <row r="212" spans="4:43" ht="14.25" customHeight="1">
      <c r="D212"/>
      <c r="E212"/>
      <c r="F212"/>
      <c r="G212"/>
      <c r="H212"/>
      <c r="I212"/>
      <c r="J212"/>
      <c r="K212"/>
      <c r="L212"/>
      <c r="M212"/>
      <c r="N212" s="46"/>
      <c r="O212"/>
      <c r="P212"/>
      <c r="Q212"/>
      <c r="R212"/>
      <c r="S212"/>
      <c r="T212"/>
      <c r="U212"/>
      <c r="V212"/>
      <c r="W212"/>
      <c r="X212"/>
      <c r="Y212"/>
      <c r="Z212"/>
      <c r="AA212"/>
      <c r="AB212" s="64"/>
      <c r="AQ212" s="47"/>
    </row>
    <row r="213" spans="4:43" ht="14.25" customHeight="1">
      <c r="D213"/>
      <c r="E213"/>
      <c r="F213"/>
      <c r="G213"/>
      <c r="H213"/>
      <c r="I213"/>
      <c r="J213"/>
      <c r="K213"/>
      <c r="L213"/>
      <c r="M213"/>
      <c r="N213" s="46"/>
      <c r="O213"/>
      <c r="P213"/>
      <c r="Q213"/>
      <c r="R213"/>
      <c r="S213"/>
      <c r="T213"/>
      <c r="U213"/>
      <c r="V213"/>
      <c r="W213"/>
      <c r="X213"/>
      <c r="Y213"/>
      <c r="Z213"/>
      <c r="AA213"/>
      <c r="AB213" s="64"/>
      <c r="AQ213" s="47"/>
    </row>
    <row r="214" spans="4:43" ht="14.25" customHeight="1">
      <c r="D214"/>
      <c r="E214"/>
      <c r="F214"/>
      <c r="G214"/>
      <c r="H214"/>
      <c r="I214"/>
      <c r="J214"/>
      <c r="K214"/>
      <c r="L214"/>
      <c r="M214"/>
      <c r="N214" s="46"/>
      <c r="O214"/>
      <c r="P214"/>
      <c r="Q214"/>
      <c r="R214"/>
      <c r="S214"/>
      <c r="T214"/>
      <c r="U214"/>
      <c r="V214"/>
      <c r="W214"/>
      <c r="X214"/>
      <c r="Y214"/>
      <c r="Z214"/>
      <c r="AA214"/>
      <c r="AB214" s="64"/>
      <c r="AQ214" s="47"/>
    </row>
    <row r="215" spans="4:43" ht="14.25" customHeight="1">
      <c r="D215"/>
      <c r="E215"/>
      <c r="F215"/>
      <c r="G215"/>
      <c r="H215"/>
      <c r="I215"/>
      <c r="J215"/>
      <c r="K215"/>
      <c r="L215"/>
      <c r="M215"/>
      <c r="N215" s="46"/>
      <c r="O215"/>
      <c r="P215"/>
      <c r="Q215"/>
      <c r="R215"/>
      <c r="S215"/>
      <c r="T215"/>
      <c r="U215"/>
      <c r="V215"/>
      <c r="W215"/>
      <c r="X215"/>
      <c r="Y215"/>
      <c r="Z215"/>
      <c r="AA215"/>
      <c r="AB215" s="64"/>
      <c r="AQ215" s="47"/>
    </row>
    <row r="216" spans="4:43" ht="14.25" customHeight="1">
      <c r="D216"/>
      <c r="E216"/>
      <c r="F216"/>
      <c r="G216"/>
      <c r="H216"/>
      <c r="I216"/>
      <c r="J216"/>
      <c r="K216"/>
      <c r="L216"/>
      <c r="M216"/>
      <c r="N216" s="46"/>
      <c r="O216"/>
      <c r="P216"/>
      <c r="Q216"/>
      <c r="R216"/>
      <c r="S216"/>
      <c r="T216"/>
      <c r="U216"/>
      <c r="V216"/>
      <c r="W216"/>
      <c r="X216"/>
      <c r="Y216"/>
      <c r="Z216"/>
      <c r="AA216"/>
      <c r="AB216" s="64"/>
      <c r="AQ216" s="47"/>
    </row>
    <row r="217" spans="4:43" ht="14.25" customHeight="1">
      <c r="D217"/>
      <c r="E217"/>
      <c r="F217"/>
      <c r="G217"/>
      <c r="H217"/>
      <c r="I217"/>
      <c r="J217"/>
      <c r="K217"/>
      <c r="L217"/>
      <c r="M217"/>
      <c r="N217" s="46"/>
      <c r="O217"/>
      <c r="P217"/>
      <c r="Q217"/>
      <c r="R217"/>
      <c r="S217"/>
      <c r="T217"/>
      <c r="U217"/>
      <c r="V217"/>
      <c r="W217"/>
      <c r="X217"/>
      <c r="Y217"/>
      <c r="Z217"/>
      <c r="AA217"/>
      <c r="AB217" s="64"/>
      <c r="AQ217" s="47"/>
    </row>
    <row r="218" spans="4:43" ht="14.25" customHeight="1">
      <c r="D218"/>
      <c r="E218"/>
      <c r="F218"/>
      <c r="G218"/>
      <c r="H218"/>
      <c r="I218"/>
      <c r="J218"/>
      <c r="K218"/>
      <c r="L218"/>
      <c r="M218"/>
      <c r="N218" s="46"/>
      <c r="O218"/>
      <c r="P218"/>
      <c r="Q218"/>
      <c r="R218"/>
      <c r="S218"/>
      <c r="T218"/>
      <c r="U218"/>
      <c r="V218"/>
      <c r="W218"/>
      <c r="X218"/>
      <c r="Y218"/>
      <c r="Z218"/>
      <c r="AA218"/>
      <c r="AB218" s="64"/>
      <c r="AQ218" s="47"/>
    </row>
    <row r="219" spans="4:43" ht="14.25" customHeight="1">
      <c r="D219"/>
      <c r="E219"/>
      <c r="F219"/>
      <c r="G219"/>
      <c r="H219"/>
      <c r="I219"/>
      <c r="J219"/>
      <c r="K219"/>
      <c r="L219"/>
      <c r="M219"/>
      <c r="N219" s="46"/>
      <c r="O219"/>
      <c r="P219"/>
      <c r="Q219"/>
      <c r="R219"/>
      <c r="S219"/>
      <c r="T219"/>
      <c r="U219"/>
      <c r="V219"/>
      <c r="W219"/>
      <c r="X219"/>
      <c r="Y219"/>
      <c r="Z219"/>
      <c r="AA219"/>
      <c r="AB219" s="64"/>
      <c r="AQ219" s="47"/>
    </row>
    <row r="220" spans="4:43" ht="14.25" customHeight="1">
      <c r="D220"/>
      <c r="E220"/>
      <c r="F220"/>
      <c r="G220"/>
      <c r="H220"/>
      <c r="I220"/>
      <c r="J220"/>
      <c r="K220"/>
      <c r="L220"/>
      <c r="M220"/>
      <c r="N220" s="46"/>
      <c r="O220"/>
      <c r="P220"/>
      <c r="Q220"/>
      <c r="R220"/>
      <c r="S220"/>
      <c r="T220"/>
      <c r="U220"/>
      <c r="V220"/>
      <c r="W220"/>
      <c r="X220"/>
      <c r="Y220"/>
      <c r="Z220"/>
      <c r="AA220"/>
      <c r="AB220" s="64"/>
      <c r="AQ220" s="47"/>
    </row>
    <row r="221" spans="4:43" ht="14.25" customHeight="1">
      <c r="D221"/>
      <c r="E221"/>
      <c r="F221"/>
      <c r="G221"/>
      <c r="H221"/>
      <c r="I221"/>
      <c r="J221"/>
      <c r="K221"/>
      <c r="L221"/>
      <c r="M221"/>
      <c r="N221" s="46"/>
      <c r="O221"/>
      <c r="P221"/>
      <c r="Q221"/>
      <c r="R221"/>
      <c r="S221"/>
      <c r="T221"/>
      <c r="U221"/>
      <c r="V221"/>
      <c r="W221"/>
      <c r="X221"/>
      <c r="Y221"/>
      <c r="Z221"/>
      <c r="AA221"/>
      <c r="AB221" s="64"/>
      <c r="AQ221" s="47"/>
    </row>
    <row r="222" spans="4:43" ht="14.25" customHeight="1">
      <c r="D222"/>
      <c r="E222"/>
      <c r="F222"/>
      <c r="G222"/>
      <c r="H222"/>
      <c r="I222"/>
      <c r="J222"/>
      <c r="K222"/>
      <c r="L222"/>
      <c r="M222"/>
      <c r="N222" s="46"/>
      <c r="O222"/>
      <c r="P222"/>
      <c r="Q222"/>
      <c r="R222"/>
      <c r="S222"/>
      <c r="T222"/>
      <c r="U222"/>
      <c r="V222"/>
      <c r="W222"/>
      <c r="X222"/>
      <c r="Y222"/>
      <c r="Z222"/>
      <c r="AA222"/>
      <c r="AB222" s="64"/>
      <c r="AQ222" s="47"/>
    </row>
    <row r="223" spans="4:43" ht="14.25" customHeight="1">
      <c r="D223"/>
      <c r="E223"/>
      <c r="F223"/>
      <c r="G223"/>
      <c r="H223"/>
      <c r="I223"/>
      <c r="J223"/>
      <c r="K223"/>
      <c r="L223"/>
      <c r="M223"/>
      <c r="N223" s="46"/>
      <c r="O223"/>
      <c r="P223"/>
      <c r="Q223"/>
      <c r="R223"/>
      <c r="S223"/>
      <c r="T223"/>
      <c r="U223"/>
      <c r="V223"/>
      <c r="W223"/>
      <c r="X223"/>
      <c r="Y223"/>
      <c r="Z223"/>
      <c r="AA223"/>
      <c r="AB223" s="64"/>
      <c r="AQ223" s="47"/>
    </row>
    <row r="224" spans="4:43" ht="14.25" customHeight="1">
      <c r="D224"/>
      <c r="E224"/>
      <c r="F224"/>
      <c r="G224"/>
      <c r="H224"/>
      <c r="I224"/>
      <c r="J224"/>
      <c r="K224"/>
      <c r="L224"/>
      <c r="M224"/>
      <c r="N224" s="46"/>
      <c r="O224"/>
      <c r="P224"/>
      <c r="Q224"/>
      <c r="R224"/>
      <c r="S224"/>
      <c r="T224"/>
      <c r="U224"/>
      <c r="V224"/>
      <c r="W224"/>
      <c r="X224"/>
      <c r="Y224"/>
      <c r="Z224"/>
      <c r="AA224"/>
      <c r="AB224" s="64"/>
      <c r="AQ224" s="47"/>
    </row>
    <row r="225" spans="4:43" ht="14.25" customHeight="1">
      <c r="D225"/>
      <c r="E225"/>
      <c r="F225"/>
      <c r="G225"/>
      <c r="H225"/>
      <c r="I225"/>
      <c r="J225"/>
      <c r="K225"/>
      <c r="L225"/>
      <c r="M225"/>
      <c r="N225" s="46"/>
      <c r="O225"/>
      <c r="P225"/>
      <c r="Q225"/>
      <c r="R225"/>
      <c r="S225"/>
      <c r="T225"/>
      <c r="U225"/>
      <c r="V225"/>
      <c r="W225"/>
      <c r="X225"/>
      <c r="Y225"/>
      <c r="Z225"/>
      <c r="AA225"/>
      <c r="AB225" s="64"/>
      <c r="AQ225" s="47"/>
    </row>
    <row r="226" spans="4:43" ht="14.25" customHeight="1">
      <c r="D226"/>
      <c r="E226"/>
      <c r="F226"/>
      <c r="G226"/>
      <c r="H226"/>
      <c r="I226"/>
      <c r="J226"/>
      <c r="K226"/>
      <c r="L226"/>
      <c r="M226"/>
      <c r="N226" s="46"/>
      <c r="O226"/>
      <c r="P226"/>
      <c r="Q226"/>
      <c r="R226"/>
      <c r="S226"/>
      <c r="T226"/>
      <c r="U226"/>
      <c r="V226"/>
      <c r="W226"/>
      <c r="X226"/>
      <c r="Y226"/>
      <c r="Z226"/>
      <c r="AA226"/>
      <c r="AB226" s="64"/>
      <c r="AQ226" s="47"/>
    </row>
    <row r="227" spans="4:43" ht="14.25" customHeight="1">
      <c r="D227"/>
      <c r="E227"/>
      <c r="F227"/>
      <c r="G227"/>
      <c r="H227"/>
      <c r="I227"/>
      <c r="J227"/>
      <c r="K227"/>
      <c r="L227"/>
      <c r="M227"/>
      <c r="N227" s="46"/>
      <c r="O227"/>
      <c r="P227"/>
      <c r="Q227"/>
      <c r="R227"/>
      <c r="S227"/>
      <c r="T227"/>
      <c r="U227"/>
      <c r="V227"/>
      <c r="W227"/>
      <c r="X227"/>
      <c r="Y227"/>
      <c r="Z227"/>
      <c r="AA227"/>
      <c r="AB227" s="64"/>
      <c r="AQ227" s="47"/>
    </row>
    <row r="228" spans="4:43" ht="14.25" customHeight="1">
      <c r="D228"/>
      <c r="E228"/>
      <c r="F228"/>
      <c r="G228"/>
      <c r="H228"/>
      <c r="I228"/>
      <c r="J228"/>
      <c r="K228"/>
      <c r="L228"/>
      <c r="M228"/>
      <c r="N228" s="46"/>
      <c r="O228"/>
      <c r="P228"/>
      <c r="Q228"/>
      <c r="R228"/>
      <c r="S228"/>
      <c r="T228"/>
      <c r="U228"/>
      <c r="V228"/>
      <c r="W228"/>
      <c r="X228"/>
      <c r="Y228"/>
      <c r="Z228"/>
      <c r="AA228"/>
      <c r="AB228" s="64"/>
      <c r="AQ228" s="47"/>
    </row>
    <row r="229" spans="4:43" ht="14.25" customHeight="1">
      <c r="D229"/>
      <c r="E229"/>
      <c r="F229"/>
      <c r="G229"/>
      <c r="H229"/>
      <c r="I229"/>
      <c r="J229"/>
      <c r="K229"/>
      <c r="L229"/>
      <c r="M229"/>
      <c r="N229" s="46"/>
      <c r="O229"/>
      <c r="P229"/>
      <c r="Q229"/>
      <c r="R229"/>
      <c r="S229"/>
      <c r="T229"/>
      <c r="U229"/>
      <c r="V229"/>
      <c r="W229"/>
      <c r="X229"/>
      <c r="Y229"/>
      <c r="Z229"/>
      <c r="AA229"/>
      <c r="AB229" s="64"/>
      <c r="AQ229" s="47"/>
    </row>
    <row r="230" spans="4:43" ht="14.25" customHeight="1">
      <c r="D230"/>
      <c r="E230"/>
      <c r="F230"/>
      <c r="G230"/>
      <c r="H230"/>
      <c r="I230"/>
      <c r="J230"/>
      <c r="K230"/>
      <c r="L230"/>
      <c r="M230"/>
      <c r="N230" s="46"/>
      <c r="O230"/>
      <c r="P230"/>
      <c r="Q230"/>
      <c r="R230"/>
      <c r="S230"/>
      <c r="T230"/>
      <c r="U230"/>
      <c r="V230"/>
      <c r="W230"/>
      <c r="X230"/>
      <c r="Y230"/>
      <c r="Z230"/>
      <c r="AA230"/>
      <c r="AB230" s="64"/>
      <c r="AQ230" s="47"/>
    </row>
    <row r="231" spans="4:43" ht="14.25" customHeight="1">
      <c r="D231"/>
      <c r="E231"/>
      <c r="F231"/>
      <c r="G231"/>
      <c r="H231"/>
      <c r="I231"/>
      <c r="J231"/>
      <c r="K231"/>
      <c r="L231"/>
      <c r="M231"/>
      <c r="N231" s="46"/>
      <c r="O231"/>
      <c r="P231"/>
      <c r="Q231"/>
      <c r="R231"/>
      <c r="S231"/>
      <c r="T231"/>
      <c r="U231"/>
      <c r="V231"/>
      <c r="W231"/>
      <c r="X231"/>
      <c r="Y231"/>
      <c r="Z231"/>
      <c r="AA231"/>
      <c r="AB231" s="64"/>
      <c r="AQ231" s="47"/>
    </row>
    <row r="232" spans="4:43" ht="14.25" customHeight="1">
      <c r="D232"/>
      <c r="E232"/>
      <c r="F232"/>
      <c r="G232"/>
      <c r="H232"/>
      <c r="I232"/>
      <c r="J232"/>
      <c r="K232"/>
      <c r="L232"/>
      <c r="M232"/>
      <c r="N232" s="46"/>
      <c r="O232"/>
      <c r="P232"/>
      <c r="Q232"/>
      <c r="R232"/>
      <c r="S232"/>
      <c r="T232"/>
      <c r="U232"/>
      <c r="V232"/>
      <c r="W232"/>
      <c r="X232"/>
      <c r="Y232"/>
      <c r="Z232"/>
      <c r="AA232"/>
      <c r="AB232" s="64"/>
      <c r="AQ232" s="47"/>
    </row>
    <row r="233" spans="4:43" ht="14.25" customHeight="1">
      <c r="D233"/>
      <c r="E233"/>
      <c r="F233"/>
      <c r="G233"/>
      <c r="H233"/>
      <c r="I233"/>
      <c r="J233"/>
      <c r="K233"/>
      <c r="L233"/>
      <c r="M233"/>
      <c r="N233" s="46"/>
      <c r="O233"/>
      <c r="P233"/>
      <c r="Q233"/>
      <c r="R233"/>
      <c r="S233"/>
      <c r="T233"/>
      <c r="U233"/>
      <c r="V233"/>
      <c r="W233"/>
      <c r="X233"/>
      <c r="Y233"/>
      <c r="Z233"/>
      <c r="AA233"/>
      <c r="AB233" s="64"/>
      <c r="AQ233" s="47"/>
    </row>
    <row r="234" spans="4:43" ht="14.25" customHeight="1">
      <c r="D234"/>
      <c r="E234"/>
      <c r="F234"/>
      <c r="G234"/>
      <c r="H234"/>
      <c r="I234"/>
      <c r="J234"/>
      <c r="K234"/>
      <c r="L234"/>
      <c r="M234"/>
      <c r="N234" s="46"/>
      <c r="O234"/>
      <c r="P234"/>
      <c r="Q234"/>
      <c r="R234"/>
      <c r="S234"/>
      <c r="T234"/>
      <c r="U234"/>
      <c r="V234"/>
      <c r="W234"/>
      <c r="X234"/>
      <c r="Y234"/>
      <c r="Z234"/>
      <c r="AA234"/>
      <c r="AB234" s="64"/>
      <c r="AQ234" s="47"/>
    </row>
    <row r="235" spans="4:43" ht="14.25" customHeight="1">
      <c r="D235"/>
      <c r="E235"/>
      <c r="F235"/>
      <c r="G235"/>
      <c r="H235"/>
      <c r="I235"/>
      <c r="J235"/>
      <c r="K235"/>
      <c r="L235"/>
      <c r="M235"/>
      <c r="N235" s="46"/>
      <c r="O235"/>
      <c r="P235"/>
      <c r="Q235"/>
      <c r="R235"/>
      <c r="S235"/>
      <c r="T235"/>
      <c r="U235"/>
      <c r="V235"/>
      <c r="W235"/>
      <c r="X235"/>
      <c r="Y235"/>
      <c r="Z235"/>
      <c r="AA235"/>
      <c r="AB235" s="64"/>
      <c r="AQ235" s="47"/>
    </row>
    <row r="236" spans="4:43" ht="14.25" customHeight="1">
      <c r="D236"/>
      <c r="E236"/>
      <c r="F236"/>
      <c r="G236"/>
      <c r="H236"/>
      <c r="I236"/>
      <c r="J236"/>
      <c r="K236"/>
      <c r="L236"/>
      <c r="M236"/>
      <c r="N236" s="46"/>
      <c r="O236"/>
      <c r="P236"/>
      <c r="Q236"/>
      <c r="R236"/>
      <c r="S236"/>
      <c r="T236"/>
      <c r="U236"/>
      <c r="V236"/>
      <c r="W236"/>
      <c r="X236"/>
      <c r="Y236"/>
      <c r="Z236"/>
      <c r="AA236"/>
      <c r="AB236" s="64"/>
      <c r="AQ236" s="47"/>
    </row>
    <row r="237" spans="4:43" ht="14.25" customHeight="1">
      <c r="D237"/>
      <c r="E237"/>
      <c r="F237"/>
      <c r="G237"/>
      <c r="H237"/>
      <c r="I237"/>
      <c r="J237"/>
      <c r="K237"/>
      <c r="L237"/>
      <c r="M237"/>
      <c r="N237" s="46"/>
      <c r="O237"/>
      <c r="P237"/>
      <c r="Q237"/>
      <c r="R237"/>
      <c r="S237"/>
      <c r="T237"/>
      <c r="U237"/>
      <c r="V237"/>
      <c r="W237"/>
      <c r="X237"/>
      <c r="Y237"/>
      <c r="Z237"/>
      <c r="AA237"/>
      <c r="AB237" s="64"/>
      <c r="AQ237" s="47"/>
    </row>
    <row r="238" spans="4:43" ht="14.25" customHeight="1">
      <c r="D238"/>
      <c r="E238"/>
      <c r="F238"/>
      <c r="G238"/>
      <c r="H238"/>
      <c r="I238"/>
      <c r="J238"/>
      <c r="K238"/>
      <c r="L238"/>
      <c r="M238"/>
      <c r="N238" s="46"/>
      <c r="O238"/>
      <c r="P238"/>
      <c r="Q238"/>
      <c r="R238"/>
      <c r="S238"/>
      <c r="T238"/>
      <c r="U238"/>
      <c r="V238"/>
      <c r="W238"/>
      <c r="X238"/>
      <c r="Y238"/>
      <c r="Z238"/>
      <c r="AA238"/>
      <c r="AB238" s="64"/>
      <c r="AQ238" s="47"/>
    </row>
    <row r="239" spans="4:43" ht="14.25" customHeight="1">
      <c r="D239"/>
      <c r="E239"/>
      <c r="F239"/>
      <c r="G239"/>
      <c r="H239"/>
      <c r="I239"/>
      <c r="J239"/>
      <c r="K239"/>
      <c r="L239"/>
      <c r="M239"/>
      <c r="N239" s="46"/>
      <c r="O239"/>
      <c r="P239"/>
      <c r="Q239"/>
      <c r="R239"/>
      <c r="S239"/>
      <c r="T239"/>
      <c r="U239"/>
      <c r="V239"/>
      <c r="W239"/>
      <c r="X239"/>
      <c r="Y239"/>
      <c r="Z239"/>
      <c r="AA239"/>
      <c r="AB239" s="64"/>
      <c r="AQ239" s="47"/>
    </row>
    <row r="240" spans="4:43" ht="14.25" customHeight="1">
      <c r="D240"/>
      <c r="E240"/>
      <c r="F240"/>
      <c r="G240"/>
      <c r="H240"/>
      <c r="I240"/>
      <c r="J240"/>
      <c r="K240"/>
      <c r="L240"/>
      <c r="M240"/>
      <c r="N240" s="46"/>
      <c r="O240"/>
      <c r="P240"/>
      <c r="Q240"/>
      <c r="R240"/>
      <c r="S240"/>
      <c r="T240"/>
      <c r="U240"/>
      <c r="V240"/>
      <c r="W240"/>
      <c r="X240"/>
      <c r="Y240"/>
      <c r="Z240"/>
      <c r="AA240"/>
      <c r="AB240" s="64"/>
      <c r="AQ240" s="47"/>
    </row>
    <row r="241" spans="4:43" ht="14.25" customHeight="1">
      <c r="D241"/>
      <c r="E241"/>
      <c r="F241"/>
      <c r="G241"/>
      <c r="H241"/>
      <c r="I241"/>
      <c r="J241"/>
      <c r="K241"/>
      <c r="L241"/>
      <c r="M241"/>
      <c r="N241" s="46"/>
      <c r="O241"/>
      <c r="P241"/>
      <c r="Q241"/>
      <c r="R241"/>
      <c r="S241"/>
      <c r="T241"/>
      <c r="U241"/>
      <c r="V241"/>
      <c r="W241"/>
      <c r="X241"/>
      <c r="Y241"/>
      <c r="Z241"/>
      <c r="AA241"/>
      <c r="AB241" s="64"/>
      <c r="AQ241" s="47"/>
    </row>
    <row r="242" spans="4:43" ht="14.25" customHeight="1">
      <c r="D242"/>
      <c r="E242"/>
      <c r="F242"/>
      <c r="G242"/>
      <c r="H242"/>
      <c r="I242"/>
      <c r="J242"/>
      <c r="K242"/>
      <c r="L242"/>
      <c r="M242"/>
      <c r="N242" s="46"/>
      <c r="O242"/>
      <c r="P242"/>
      <c r="Q242"/>
      <c r="R242"/>
      <c r="S242"/>
      <c r="T242"/>
      <c r="U242"/>
      <c r="V242"/>
      <c r="W242"/>
      <c r="X242"/>
      <c r="Y242"/>
      <c r="Z242"/>
      <c r="AA242"/>
      <c r="AB242" s="64"/>
      <c r="AQ242" s="47"/>
    </row>
    <row r="243" spans="4:43" ht="14.25" customHeight="1">
      <c r="D243"/>
      <c r="E243"/>
      <c r="F243"/>
      <c r="G243"/>
      <c r="H243"/>
      <c r="I243"/>
      <c r="J243"/>
      <c r="K243"/>
      <c r="L243"/>
      <c r="M243"/>
      <c r="N243" s="46"/>
      <c r="O243"/>
      <c r="P243"/>
      <c r="Q243"/>
      <c r="R243"/>
      <c r="S243"/>
      <c r="T243"/>
      <c r="U243"/>
      <c r="V243"/>
      <c r="W243"/>
      <c r="X243"/>
      <c r="Y243"/>
      <c r="Z243"/>
      <c r="AA243"/>
      <c r="AB243" s="64"/>
      <c r="AQ243" s="47"/>
    </row>
    <row r="244" spans="4:43" ht="14.25" customHeight="1">
      <c r="D244"/>
      <c r="E244"/>
      <c r="F244"/>
      <c r="G244"/>
      <c r="H244"/>
      <c r="I244"/>
      <c r="J244"/>
      <c r="K244"/>
      <c r="L244"/>
      <c r="M244"/>
      <c r="N244" s="46"/>
      <c r="O244"/>
      <c r="P244"/>
      <c r="Q244"/>
      <c r="R244"/>
      <c r="S244"/>
      <c r="T244"/>
      <c r="U244"/>
      <c r="V244"/>
      <c r="W244"/>
      <c r="X244"/>
      <c r="Y244"/>
      <c r="Z244"/>
      <c r="AA244"/>
      <c r="AB244" s="64"/>
      <c r="AQ244" s="47"/>
    </row>
    <row r="245" spans="4:43" ht="14.25" customHeight="1">
      <c r="D245"/>
      <c r="E245"/>
      <c r="F245"/>
      <c r="G245"/>
      <c r="H245"/>
      <c r="I245"/>
      <c r="J245"/>
      <c r="K245"/>
      <c r="L245"/>
      <c r="M245"/>
      <c r="N245" s="46"/>
      <c r="O245"/>
      <c r="P245"/>
      <c r="Q245"/>
      <c r="R245"/>
      <c r="S245"/>
      <c r="T245"/>
      <c r="U245"/>
      <c r="V245"/>
      <c r="W245"/>
      <c r="X245"/>
      <c r="Y245"/>
      <c r="Z245"/>
      <c r="AA245"/>
      <c r="AB245" s="64"/>
      <c r="AQ245" s="47"/>
    </row>
    <row r="246" spans="4:43" ht="14.25" customHeight="1">
      <c r="D246"/>
      <c r="E246"/>
      <c r="F246"/>
      <c r="G246"/>
      <c r="H246"/>
      <c r="I246"/>
      <c r="J246"/>
      <c r="K246"/>
      <c r="L246"/>
      <c r="M246"/>
      <c r="N246" s="46"/>
      <c r="O246"/>
      <c r="P246"/>
      <c r="Q246"/>
      <c r="R246"/>
      <c r="S246"/>
      <c r="T246"/>
      <c r="U246"/>
      <c r="V246"/>
      <c r="W246"/>
      <c r="X246"/>
      <c r="Y246"/>
      <c r="Z246"/>
      <c r="AA246"/>
      <c r="AB246" s="64"/>
      <c r="AQ246" s="47"/>
    </row>
    <row r="247" spans="4:43" ht="14.25" customHeight="1">
      <c r="D247"/>
      <c r="E247"/>
      <c r="F247"/>
      <c r="G247"/>
      <c r="H247"/>
      <c r="I247"/>
      <c r="J247"/>
      <c r="K247"/>
      <c r="L247"/>
      <c r="M247"/>
      <c r="N247" s="46"/>
      <c r="O247"/>
      <c r="P247"/>
      <c r="Q247"/>
      <c r="R247"/>
      <c r="S247"/>
      <c r="T247"/>
      <c r="U247"/>
      <c r="V247"/>
      <c r="W247"/>
      <c r="X247"/>
      <c r="Y247"/>
      <c r="Z247"/>
      <c r="AA247"/>
      <c r="AB247" s="64"/>
      <c r="AQ247" s="47"/>
    </row>
    <row r="248" spans="4:43" ht="14.25" customHeight="1">
      <c r="D248"/>
      <c r="E248"/>
      <c r="F248"/>
      <c r="G248"/>
      <c r="H248"/>
      <c r="I248"/>
      <c r="J248"/>
      <c r="K248"/>
      <c r="L248"/>
      <c r="M248"/>
      <c r="N248" s="46"/>
      <c r="O248"/>
      <c r="P248"/>
      <c r="Q248"/>
      <c r="R248"/>
      <c r="S248"/>
      <c r="T248"/>
      <c r="U248"/>
      <c r="V248"/>
      <c r="W248"/>
      <c r="X248"/>
      <c r="Y248"/>
      <c r="Z248"/>
      <c r="AA248"/>
      <c r="AB248" s="64"/>
      <c r="AQ248" s="47"/>
    </row>
    <row r="249" spans="4:43" ht="14.25" customHeight="1">
      <c r="D249"/>
      <c r="E249"/>
      <c r="F249"/>
      <c r="G249"/>
      <c r="H249"/>
      <c r="I249"/>
      <c r="J249"/>
      <c r="K249"/>
      <c r="L249"/>
      <c r="M249"/>
      <c r="N249" s="46"/>
      <c r="O249"/>
      <c r="P249"/>
      <c r="Q249"/>
      <c r="R249"/>
      <c r="S249"/>
      <c r="T249"/>
      <c r="U249"/>
      <c r="V249"/>
      <c r="W249"/>
      <c r="X249"/>
      <c r="Y249"/>
      <c r="Z249"/>
      <c r="AA249"/>
      <c r="AB249" s="64"/>
      <c r="AQ249" s="47"/>
    </row>
    <row r="250" spans="4:43" ht="14.25" customHeight="1">
      <c r="D250"/>
      <c r="E250"/>
      <c r="F250"/>
      <c r="G250"/>
      <c r="H250"/>
      <c r="I250"/>
      <c r="J250"/>
      <c r="K250"/>
      <c r="L250"/>
      <c r="M250"/>
      <c r="N250" s="46"/>
      <c r="O250"/>
      <c r="P250"/>
      <c r="Q250"/>
      <c r="R250"/>
      <c r="S250"/>
      <c r="T250"/>
      <c r="U250"/>
      <c r="V250"/>
      <c r="W250"/>
      <c r="X250"/>
      <c r="Y250"/>
      <c r="Z250"/>
      <c r="AA250"/>
      <c r="AB250" s="64"/>
      <c r="AQ250" s="47"/>
    </row>
    <row r="251" spans="4:43" ht="14.25" customHeight="1">
      <c r="D251"/>
      <c r="E251"/>
      <c r="F251"/>
      <c r="G251"/>
      <c r="H251"/>
      <c r="I251"/>
      <c r="J251"/>
      <c r="K251"/>
      <c r="L251"/>
      <c r="M251"/>
      <c r="N251" s="46"/>
      <c r="O251"/>
      <c r="P251"/>
      <c r="Q251"/>
      <c r="R251"/>
      <c r="S251"/>
      <c r="T251"/>
      <c r="U251"/>
      <c r="V251"/>
      <c r="W251"/>
      <c r="X251"/>
      <c r="Y251"/>
      <c r="Z251"/>
      <c r="AA251"/>
      <c r="AB251" s="64"/>
      <c r="AQ251" s="47"/>
    </row>
    <row r="252" spans="4:43" ht="14.25" customHeight="1">
      <c r="D252"/>
      <c r="E252"/>
      <c r="F252"/>
      <c r="G252"/>
      <c r="H252"/>
      <c r="I252"/>
      <c r="J252"/>
      <c r="K252"/>
      <c r="L252"/>
      <c r="M252"/>
      <c r="N252" s="46"/>
      <c r="O252"/>
      <c r="P252"/>
      <c r="Q252"/>
      <c r="R252"/>
      <c r="S252"/>
      <c r="T252"/>
      <c r="U252"/>
      <c r="V252"/>
      <c r="W252"/>
      <c r="X252"/>
      <c r="Y252"/>
      <c r="Z252"/>
      <c r="AA252"/>
      <c r="AB252" s="64"/>
      <c r="AQ252" s="47"/>
    </row>
    <row r="253" spans="4:43" ht="14.25" customHeight="1">
      <c r="D253"/>
      <c r="E253"/>
      <c r="F253"/>
      <c r="G253"/>
      <c r="H253"/>
      <c r="I253"/>
      <c r="J253"/>
      <c r="K253"/>
      <c r="L253"/>
      <c r="M253"/>
      <c r="N253" s="46"/>
      <c r="O253"/>
      <c r="P253"/>
      <c r="Q253"/>
      <c r="R253"/>
      <c r="S253"/>
      <c r="T253"/>
      <c r="U253"/>
      <c r="V253"/>
      <c r="W253"/>
      <c r="X253"/>
      <c r="Y253"/>
      <c r="Z253"/>
      <c r="AA253"/>
      <c r="AB253" s="64"/>
      <c r="AQ253" s="47"/>
    </row>
    <row r="254" spans="4:43" ht="14.25" customHeight="1">
      <c r="D254"/>
      <c r="E254"/>
      <c r="F254"/>
      <c r="G254"/>
      <c r="H254"/>
      <c r="I254"/>
      <c r="J254"/>
      <c r="K254"/>
      <c r="L254"/>
      <c r="M254"/>
      <c r="N254" s="46"/>
      <c r="O254"/>
      <c r="P254"/>
      <c r="Q254"/>
      <c r="R254"/>
      <c r="S254"/>
      <c r="T254"/>
      <c r="U254"/>
      <c r="V254"/>
      <c r="W254"/>
      <c r="X254"/>
      <c r="Y254"/>
      <c r="Z254"/>
      <c r="AA254"/>
      <c r="AB254" s="64"/>
      <c r="AQ254" s="47"/>
    </row>
    <row r="255" spans="4:43" ht="14.25" customHeight="1">
      <c r="D255"/>
      <c r="E255"/>
      <c r="F255"/>
      <c r="G255"/>
      <c r="H255"/>
      <c r="I255"/>
      <c r="J255"/>
      <c r="K255"/>
      <c r="L255"/>
      <c r="M255"/>
      <c r="N255" s="46"/>
      <c r="O255"/>
      <c r="P255"/>
      <c r="Q255"/>
      <c r="R255"/>
      <c r="S255"/>
      <c r="T255"/>
      <c r="U255"/>
      <c r="V255"/>
      <c r="W255"/>
      <c r="X255"/>
      <c r="Y255"/>
      <c r="Z255"/>
      <c r="AA255"/>
      <c r="AB255" s="64"/>
      <c r="AQ255" s="47"/>
    </row>
    <row r="256" spans="4:43" ht="14.25" customHeight="1">
      <c r="D256"/>
      <c r="E256"/>
      <c r="F256"/>
      <c r="G256"/>
      <c r="H256"/>
      <c r="I256"/>
      <c r="J256"/>
      <c r="K256"/>
      <c r="L256"/>
      <c r="M256"/>
      <c r="N256" s="46"/>
      <c r="O256"/>
      <c r="P256"/>
      <c r="Q256"/>
      <c r="R256"/>
      <c r="S256"/>
      <c r="T256"/>
      <c r="U256"/>
      <c r="V256"/>
      <c r="W256"/>
      <c r="X256"/>
      <c r="Y256"/>
      <c r="Z256"/>
      <c r="AA256"/>
      <c r="AB256" s="64"/>
      <c r="AQ256" s="47"/>
    </row>
    <row r="257" spans="4:43" ht="14.25" customHeight="1">
      <c r="D257"/>
      <c r="E257"/>
      <c r="F257"/>
      <c r="G257"/>
      <c r="H257"/>
      <c r="I257"/>
      <c r="J257"/>
      <c r="K257"/>
      <c r="L257"/>
      <c r="M257"/>
      <c r="N257" s="46"/>
      <c r="O257"/>
      <c r="P257"/>
      <c r="Q257"/>
      <c r="R257"/>
      <c r="S257"/>
      <c r="T257"/>
      <c r="U257"/>
      <c r="V257"/>
      <c r="W257"/>
      <c r="X257"/>
      <c r="Y257"/>
      <c r="Z257"/>
      <c r="AA257"/>
      <c r="AB257" s="64"/>
      <c r="AQ257" s="47"/>
    </row>
    <row r="258" spans="4:43" ht="14.25" customHeight="1">
      <c r="D258"/>
      <c r="E258"/>
      <c r="F258"/>
      <c r="G258"/>
      <c r="H258"/>
      <c r="I258"/>
      <c r="J258"/>
      <c r="K258"/>
      <c r="L258"/>
      <c r="M258"/>
      <c r="N258" s="46"/>
      <c r="O258"/>
      <c r="P258"/>
      <c r="Q258"/>
      <c r="R258"/>
      <c r="S258"/>
      <c r="T258"/>
      <c r="U258"/>
      <c r="V258"/>
      <c r="W258"/>
      <c r="X258"/>
      <c r="Y258"/>
      <c r="Z258"/>
      <c r="AA258"/>
      <c r="AB258" s="64"/>
      <c r="AQ258" s="47"/>
    </row>
    <row r="259" spans="4:43" ht="14.25" customHeight="1">
      <c r="D259"/>
      <c r="E259"/>
      <c r="F259"/>
      <c r="G259"/>
      <c r="H259"/>
      <c r="I259"/>
      <c r="J259"/>
      <c r="K259"/>
      <c r="L259"/>
      <c r="M259"/>
      <c r="N259" s="46"/>
      <c r="O259"/>
      <c r="P259"/>
      <c r="Q259"/>
      <c r="R259"/>
      <c r="S259"/>
      <c r="T259"/>
      <c r="U259"/>
      <c r="V259"/>
      <c r="W259"/>
      <c r="X259"/>
      <c r="Y259"/>
      <c r="Z259"/>
      <c r="AA259"/>
      <c r="AB259" s="64"/>
      <c r="AQ259" s="47"/>
    </row>
    <row r="260" spans="4:43" ht="14.25" customHeight="1">
      <c r="D260"/>
      <c r="E260"/>
      <c r="F260"/>
      <c r="G260"/>
      <c r="H260"/>
      <c r="I260"/>
      <c r="J260"/>
      <c r="K260"/>
      <c r="L260"/>
      <c r="M260"/>
      <c r="N260" s="46"/>
      <c r="O260"/>
      <c r="P260"/>
      <c r="Q260"/>
      <c r="R260"/>
      <c r="S260"/>
      <c r="T260"/>
      <c r="U260"/>
      <c r="V260"/>
      <c r="W260"/>
      <c r="X260"/>
      <c r="Y260"/>
      <c r="Z260"/>
      <c r="AA260"/>
      <c r="AB260" s="64"/>
      <c r="AQ260" s="47"/>
    </row>
    <row r="261" spans="4:43" ht="14.25" customHeight="1">
      <c r="D261"/>
      <c r="E261"/>
      <c r="F261"/>
      <c r="G261"/>
      <c r="H261"/>
      <c r="I261"/>
      <c r="J261"/>
      <c r="K261"/>
      <c r="L261"/>
      <c r="M261"/>
      <c r="N261" s="46"/>
      <c r="O261"/>
      <c r="P261"/>
      <c r="Q261"/>
      <c r="R261"/>
      <c r="S261"/>
      <c r="T261"/>
      <c r="U261"/>
      <c r="V261"/>
      <c r="W261"/>
      <c r="X261"/>
      <c r="Y261"/>
      <c r="Z261"/>
      <c r="AA261"/>
      <c r="AB261" s="64"/>
      <c r="AQ261" s="47"/>
    </row>
    <row r="262" spans="4:43" ht="14.25" customHeight="1">
      <c r="D262"/>
      <c r="E262"/>
      <c r="F262"/>
      <c r="G262"/>
      <c r="H262"/>
      <c r="I262"/>
      <c r="J262"/>
      <c r="K262"/>
      <c r="L262"/>
      <c r="M262"/>
      <c r="N262" s="46"/>
      <c r="O262"/>
      <c r="P262"/>
      <c r="Q262"/>
      <c r="R262"/>
      <c r="S262"/>
      <c r="T262"/>
      <c r="U262"/>
      <c r="V262"/>
      <c r="W262"/>
      <c r="X262"/>
      <c r="Y262"/>
      <c r="Z262"/>
      <c r="AA262"/>
      <c r="AB262" s="64"/>
      <c r="AQ262" s="47"/>
    </row>
    <row r="263" spans="4:43" ht="14.25" customHeight="1">
      <c r="D263"/>
      <c r="E263"/>
      <c r="F263"/>
      <c r="G263"/>
      <c r="H263"/>
      <c r="I263"/>
      <c r="J263"/>
      <c r="K263"/>
      <c r="L263"/>
      <c r="M263"/>
      <c r="N263" s="46"/>
      <c r="O263"/>
      <c r="P263"/>
      <c r="Q263"/>
      <c r="R263"/>
      <c r="S263"/>
      <c r="T263"/>
      <c r="U263"/>
      <c r="V263"/>
      <c r="W263"/>
      <c r="X263"/>
      <c r="Y263"/>
      <c r="Z263"/>
      <c r="AA263"/>
      <c r="AB263" s="64"/>
      <c r="AQ263" s="47"/>
    </row>
    <row r="264" spans="4:43" ht="14.25" customHeight="1">
      <c r="D264"/>
      <c r="E264"/>
      <c r="F264"/>
      <c r="G264"/>
      <c r="H264"/>
      <c r="I264"/>
      <c r="J264"/>
      <c r="K264"/>
      <c r="L264"/>
      <c r="M264"/>
      <c r="N264" s="46"/>
      <c r="O264"/>
      <c r="P264"/>
      <c r="Q264"/>
      <c r="R264"/>
      <c r="S264"/>
      <c r="T264"/>
      <c r="U264"/>
      <c r="V264"/>
      <c r="W264"/>
      <c r="X264"/>
      <c r="Y264"/>
      <c r="Z264"/>
      <c r="AA264"/>
      <c r="AB264" s="64"/>
      <c r="AQ264" s="47"/>
    </row>
    <row r="265" spans="4:43" ht="14.25" customHeight="1">
      <c r="D265"/>
      <c r="E265"/>
      <c r="F265"/>
      <c r="G265"/>
      <c r="H265"/>
      <c r="I265"/>
      <c r="J265"/>
      <c r="K265"/>
      <c r="L265"/>
      <c r="M265"/>
      <c r="N265" s="46"/>
      <c r="O265"/>
      <c r="P265"/>
      <c r="Q265"/>
      <c r="R265"/>
      <c r="S265"/>
      <c r="T265"/>
      <c r="U265"/>
      <c r="V265"/>
      <c r="W265"/>
      <c r="X265"/>
      <c r="Y265"/>
      <c r="Z265"/>
      <c r="AA265"/>
      <c r="AB265" s="64"/>
      <c r="AQ265" s="47"/>
    </row>
    <row r="266" spans="4:43" ht="14.25" customHeight="1">
      <c r="D266"/>
      <c r="E266"/>
      <c r="F266"/>
      <c r="G266"/>
      <c r="H266"/>
      <c r="I266"/>
      <c r="J266"/>
      <c r="K266"/>
      <c r="L266"/>
      <c r="M266"/>
      <c r="N266" s="46"/>
      <c r="O266"/>
      <c r="P266"/>
      <c r="Q266"/>
      <c r="R266"/>
      <c r="S266"/>
      <c r="T266"/>
      <c r="U266"/>
      <c r="V266"/>
      <c r="W266"/>
      <c r="X266"/>
      <c r="Y266"/>
      <c r="Z266"/>
      <c r="AA266"/>
      <c r="AB266" s="64"/>
      <c r="AQ266" s="47"/>
    </row>
    <row r="267" spans="4:43" ht="14.25" customHeight="1">
      <c r="D267"/>
      <c r="E267"/>
      <c r="F267"/>
      <c r="G267"/>
      <c r="H267"/>
      <c r="I267"/>
      <c r="J267"/>
      <c r="K267"/>
      <c r="L267"/>
      <c r="M267"/>
      <c r="N267" s="46"/>
      <c r="O267"/>
      <c r="P267"/>
      <c r="Q267"/>
      <c r="R267"/>
      <c r="S267"/>
      <c r="T267"/>
      <c r="U267"/>
      <c r="V267"/>
      <c r="W267"/>
      <c r="X267"/>
      <c r="Y267"/>
      <c r="Z267"/>
      <c r="AA267"/>
      <c r="AB267" s="64"/>
      <c r="AQ267" s="47"/>
    </row>
    <row r="268" spans="4:43" ht="14.25" customHeight="1">
      <c r="D268"/>
      <c r="E268"/>
      <c r="F268"/>
      <c r="G268"/>
      <c r="H268"/>
      <c r="I268"/>
      <c r="J268"/>
      <c r="K268"/>
      <c r="L268"/>
      <c r="M268"/>
      <c r="N268" s="46"/>
      <c r="O268"/>
      <c r="P268"/>
      <c r="Q268"/>
      <c r="R268"/>
      <c r="S268"/>
      <c r="T268"/>
      <c r="U268"/>
      <c r="V268"/>
      <c r="W268"/>
      <c r="X268"/>
      <c r="Y268"/>
      <c r="Z268"/>
      <c r="AA268"/>
      <c r="AB268" s="64"/>
      <c r="AQ268" s="47"/>
    </row>
    <row r="269" spans="4:43" ht="14.25" customHeight="1">
      <c r="D269"/>
      <c r="E269"/>
      <c r="F269"/>
      <c r="G269"/>
      <c r="H269"/>
      <c r="I269"/>
      <c r="J269"/>
      <c r="K269"/>
      <c r="L269"/>
      <c r="M269"/>
      <c r="N269" s="46"/>
      <c r="O269"/>
      <c r="P269"/>
      <c r="Q269"/>
      <c r="R269"/>
      <c r="S269"/>
      <c r="T269"/>
      <c r="U269"/>
      <c r="V269"/>
      <c r="W269"/>
      <c r="X269"/>
      <c r="Y269"/>
      <c r="Z269"/>
      <c r="AA269"/>
      <c r="AB269" s="64"/>
      <c r="AQ269" s="47"/>
    </row>
    <row r="270" spans="4:43" ht="14.25" customHeight="1">
      <c r="D270"/>
      <c r="E270"/>
      <c r="F270"/>
      <c r="G270"/>
      <c r="H270"/>
      <c r="I270"/>
      <c r="J270"/>
      <c r="K270"/>
      <c r="L270"/>
      <c r="M270"/>
      <c r="N270" s="46"/>
      <c r="O270"/>
      <c r="P270"/>
      <c r="Q270"/>
      <c r="R270"/>
      <c r="S270"/>
      <c r="T270"/>
      <c r="U270"/>
      <c r="V270"/>
      <c r="W270"/>
      <c r="X270"/>
      <c r="Y270"/>
      <c r="Z270"/>
      <c r="AA270"/>
      <c r="AB270" s="64"/>
      <c r="AQ270" s="47"/>
    </row>
    <row r="271" spans="4:43" ht="14.25" customHeight="1">
      <c r="D271"/>
      <c r="E271"/>
      <c r="F271"/>
      <c r="G271"/>
      <c r="H271"/>
      <c r="I271"/>
      <c r="J271"/>
      <c r="K271"/>
      <c r="L271"/>
      <c r="M271"/>
      <c r="N271" s="46"/>
      <c r="O271"/>
      <c r="P271"/>
      <c r="Q271"/>
      <c r="R271"/>
      <c r="S271"/>
      <c r="T271"/>
      <c r="U271"/>
      <c r="V271"/>
      <c r="W271"/>
      <c r="X271"/>
      <c r="Y271"/>
      <c r="Z271"/>
      <c r="AA271"/>
      <c r="AB271" s="64"/>
      <c r="AQ271" s="47"/>
    </row>
    <row r="272" spans="4:43" ht="14.25" customHeight="1">
      <c r="D272"/>
      <c r="E272"/>
      <c r="F272"/>
      <c r="G272"/>
      <c r="H272"/>
      <c r="I272"/>
      <c r="J272"/>
      <c r="K272"/>
      <c r="L272"/>
      <c r="M272"/>
      <c r="N272" s="46"/>
      <c r="O272"/>
      <c r="P272"/>
      <c r="Q272"/>
      <c r="R272"/>
      <c r="S272"/>
      <c r="T272"/>
      <c r="U272"/>
      <c r="V272"/>
      <c r="W272"/>
      <c r="X272"/>
      <c r="Y272"/>
      <c r="Z272"/>
      <c r="AA272"/>
      <c r="AB272" s="64"/>
      <c r="AQ272" s="47"/>
    </row>
    <row r="273" spans="4:43" ht="14.25" customHeight="1">
      <c r="D273"/>
      <c r="E273"/>
      <c r="F273"/>
      <c r="G273"/>
      <c r="H273"/>
      <c r="I273"/>
      <c r="J273"/>
      <c r="K273"/>
      <c r="L273"/>
      <c r="M273"/>
      <c r="N273" s="46"/>
      <c r="O273"/>
      <c r="P273"/>
      <c r="Q273"/>
      <c r="R273"/>
      <c r="S273"/>
      <c r="T273"/>
      <c r="U273"/>
      <c r="V273"/>
      <c r="W273"/>
      <c r="X273"/>
      <c r="Y273"/>
      <c r="Z273"/>
      <c r="AA273"/>
      <c r="AB273" s="64"/>
      <c r="AQ273" s="47"/>
    </row>
    <row r="274" spans="4:43" ht="14.25" customHeight="1">
      <c r="D274"/>
      <c r="E274"/>
      <c r="F274"/>
      <c r="G274"/>
      <c r="H274"/>
      <c r="I274"/>
      <c r="J274"/>
      <c r="K274"/>
      <c r="L274"/>
      <c r="M274"/>
      <c r="N274" s="46"/>
      <c r="O274"/>
      <c r="P274"/>
      <c r="Q274"/>
      <c r="R274"/>
      <c r="S274"/>
      <c r="T274"/>
      <c r="U274"/>
      <c r="V274"/>
      <c r="W274"/>
      <c r="X274"/>
      <c r="Y274"/>
      <c r="Z274"/>
      <c r="AA274"/>
      <c r="AB274" s="64"/>
      <c r="AQ274" s="47"/>
    </row>
    <row r="275" spans="4:43" ht="14.25" customHeight="1">
      <c r="D275"/>
      <c r="E275"/>
      <c r="F275"/>
      <c r="G275"/>
      <c r="H275"/>
      <c r="I275"/>
      <c r="J275"/>
      <c r="K275"/>
      <c r="L275"/>
      <c r="M275"/>
      <c r="N275" s="46"/>
      <c r="O275"/>
      <c r="P275"/>
      <c r="Q275"/>
      <c r="R275"/>
      <c r="S275"/>
      <c r="T275"/>
      <c r="U275"/>
      <c r="V275"/>
      <c r="W275"/>
      <c r="X275"/>
      <c r="Y275"/>
      <c r="Z275"/>
      <c r="AA275"/>
      <c r="AB275" s="64"/>
      <c r="AQ275" s="47"/>
    </row>
    <row r="276" spans="4:43" ht="14.25" customHeight="1">
      <c r="D276"/>
      <c r="E276"/>
      <c r="F276"/>
      <c r="G276"/>
      <c r="H276"/>
      <c r="I276"/>
      <c r="J276"/>
      <c r="K276"/>
      <c r="L276"/>
      <c r="M276"/>
      <c r="N276" s="46"/>
      <c r="O276"/>
      <c r="P276"/>
      <c r="Q276"/>
      <c r="R276"/>
      <c r="S276"/>
      <c r="T276"/>
      <c r="U276"/>
      <c r="V276"/>
      <c r="W276"/>
      <c r="X276"/>
      <c r="Y276"/>
      <c r="Z276"/>
      <c r="AA276"/>
      <c r="AB276" s="64"/>
      <c r="AQ276" s="47"/>
    </row>
    <row r="277" spans="4:43" ht="14.25" customHeight="1">
      <c r="D277"/>
      <c r="E277"/>
      <c r="F277"/>
      <c r="G277"/>
      <c r="H277"/>
      <c r="I277"/>
      <c r="J277"/>
      <c r="K277"/>
      <c r="L277"/>
      <c r="M277"/>
      <c r="N277" s="46"/>
      <c r="O277"/>
      <c r="P277"/>
      <c r="Q277"/>
      <c r="R277"/>
      <c r="S277"/>
      <c r="T277"/>
      <c r="U277"/>
      <c r="V277"/>
      <c r="W277"/>
      <c r="X277"/>
      <c r="Y277"/>
      <c r="Z277"/>
      <c r="AA277"/>
      <c r="AB277" s="64"/>
      <c r="AQ277" s="47"/>
    </row>
    <row r="278" spans="4:43" ht="14.25" customHeight="1">
      <c r="D278"/>
      <c r="E278"/>
      <c r="F278"/>
      <c r="G278"/>
      <c r="H278"/>
      <c r="I278"/>
      <c r="J278"/>
      <c r="K278"/>
      <c r="L278"/>
      <c r="M278"/>
      <c r="N278" s="46"/>
      <c r="O278"/>
      <c r="P278"/>
      <c r="Q278"/>
      <c r="R278"/>
      <c r="S278"/>
      <c r="T278"/>
      <c r="U278"/>
      <c r="V278"/>
      <c r="W278"/>
      <c r="X278"/>
      <c r="Y278"/>
      <c r="Z278"/>
      <c r="AA278"/>
      <c r="AB278" s="64"/>
      <c r="AQ278" s="47"/>
    </row>
    <row r="279" spans="4:43" ht="14.25" customHeight="1">
      <c r="D279"/>
      <c r="E279"/>
      <c r="F279"/>
      <c r="G279"/>
      <c r="H279"/>
      <c r="I279"/>
      <c r="J279"/>
      <c r="K279"/>
      <c r="L279"/>
      <c r="M279"/>
      <c r="N279" s="46"/>
      <c r="O279"/>
      <c r="P279"/>
      <c r="Q279"/>
      <c r="R279"/>
      <c r="S279"/>
      <c r="T279"/>
      <c r="U279"/>
      <c r="V279"/>
      <c r="W279"/>
      <c r="X279"/>
      <c r="Y279"/>
      <c r="Z279"/>
      <c r="AA279"/>
      <c r="AB279" s="64"/>
      <c r="AQ279" s="47"/>
    </row>
    <row r="280" spans="4:43" ht="14.25" customHeight="1">
      <c r="D280"/>
      <c r="E280"/>
      <c r="F280"/>
      <c r="G280"/>
      <c r="H280"/>
      <c r="I280"/>
      <c r="J280"/>
      <c r="K280"/>
      <c r="L280"/>
      <c r="M280"/>
      <c r="N280" s="46"/>
      <c r="O280"/>
      <c r="P280"/>
      <c r="Q280"/>
      <c r="R280"/>
      <c r="S280"/>
      <c r="T280"/>
      <c r="U280"/>
      <c r="V280"/>
      <c r="W280"/>
      <c r="X280"/>
      <c r="Y280"/>
      <c r="Z280"/>
      <c r="AA280"/>
      <c r="AB280" s="64"/>
      <c r="AQ280" s="47"/>
    </row>
    <row r="281" spans="4:43" ht="14.25" customHeight="1">
      <c r="D281"/>
      <c r="E281"/>
      <c r="F281"/>
      <c r="G281"/>
      <c r="H281"/>
      <c r="I281"/>
      <c r="J281"/>
      <c r="K281"/>
      <c r="L281"/>
      <c r="M281"/>
      <c r="N281" s="46"/>
      <c r="O281"/>
      <c r="P281"/>
      <c r="Q281"/>
      <c r="R281"/>
      <c r="S281"/>
      <c r="T281"/>
      <c r="U281"/>
      <c r="V281"/>
      <c r="W281"/>
      <c r="X281"/>
      <c r="Y281"/>
      <c r="Z281"/>
      <c r="AA281"/>
      <c r="AB281" s="64"/>
      <c r="AQ281" s="47"/>
    </row>
    <row r="282" spans="4:43" ht="14.25" customHeight="1">
      <c r="D282"/>
      <c r="E282"/>
      <c r="F282"/>
      <c r="G282"/>
      <c r="H282"/>
      <c r="I282"/>
      <c r="J282"/>
      <c r="K282"/>
      <c r="L282"/>
      <c r="M282"/>
      <c r="N282" s="46"/>
      <c r="O282"/>
      <c r="P282"/>
      <c r="Q282"/>
      <c r="R282"/>
      <c r="S282"/>
      <c r="T282"/>
      <c r="U282"/>
      <c r="V282"/>
      <c r="W282"/>
      <c r="X282"/>
      <c r="Y282"/>
      <c r="Z282"/>
      <c r="AA282"/>
      <c r="AB282" s="64"/>
      <c r="AQ282" s="47"/>
    </row>
    <row r="283" spans="4:43" ht="14.25" customHeight="1">
      <c r="D283"/>
      <c r="E283"/>
      <c r="F283"/>
      <c r="G283"/>
      <c r="H283"/>
      <c r="I283"/>
      <c r="J283"/>
      <c r="K283"/>
      <c r="L283"/>
      <c r="M283"/>
      <c r="N283" s="46"/>
      <c r="O283"/>
      <c r="P283"/>
      <c r="Q283"/>
      <c r="R283"/>
      <c r="S283"/>
      <c r="T283"/>
      <c r="U283"/>
      <c r="V283"/>
      <c r="W283"/>
      <c r="X283"/>
      <c r="Y283"/>
      <c r="Z283"/>
      <c r="AA283"/>
      <c r="AB283" s="64"/>
      <c r="AQ283" s="47"/>
    </row>
    <row r="284" spans="4:43" ht="14.25" customHeight="1">
      <c r="D284"/>
      <c r="E284"/>
      <c r="F284"/>
      <c r="G284"/>
      <c r="H284"/>
      <c r="I284"/>
      <c r="J284"/>
      <c r="K284"/>
      <c r="L284"/>
      <c r="M284"/>
      <c r="N284" s="46"/>
      <c r="O284"/>
      <c r="P284"/>
      <c r="Q284"/>
      <c r="R284"/>
      <c r="S284"/>
      <c r="T284"/>
      <c r="U284"/>
      <c r="V284"/>
      <c r="W284"/>
      <c r="X284"/>
      <c r="Y284"/>
      <c r="Z284"/>
      <c r="AA284"/>
      <c r="AB284" s="64"/>
      <c r="AQ284" s="47"/>
    </row>
    <row r="285" spans="4:43" ht="14.25" customHeight="1">
      <c r="D285"/>
      <c r="E285"/>
      <c r="F285"/>
      <c r="G285"/>
      <c r="H285"/>
      <c r="I285"/>
      <c r="J285"/>
      <c r="K285"/>
      <c r="L285"/>
      <c r="M285"/>
      <c r="N285" s="46"/>
      <c r="O285"/>
      <c r="P285"/>
      <c r="Q285"/>
      <c r="R285"/>
      <c r="S285"/>
      <c r="T285"/>
      <c r="U285"/>
      <c r="V285"/>
      <c r="W285"/>
      <c r="X285"/>
      <c r="Y285"/>
      <c r="Z285"/>
      <c r="AA285"/>
      <c r="AB285" s="64"/>
      <c r="AQ285" s="47"/>
    </row>
    <row r="286" spans="4:43" ht="14.25" customHeight="1">
      <c r="D286"/>
      <c r="E286"/>
      <c r="F286"/>
      <c r="G286"/>
      <c r="H286"/>
      <c r="I286"/>
      <c r="J286"/>
      <c r="K286"/>
      <c r="L286"/>
      <c r="M286"/>
      <c r="N286" s="46"/>
      <c r="O286"/>
      <c r="P286"/>
      <c r="Q286"/>
      <c r="R286"/>
      <c r="S286"/>
      <c r="T286"/>
      <c r="U286"/>
      <c r="V286"/>
      <c r="W286"/>
      <c r="X286"/>
      <c r="Y286"/>
      <c r="Z286"/>
      <c r="AA286"/>
      <c r="AB286" s="64"/>
      <c r="AQ286" s="47"/>
    </row>
    <row r="287" spans="4:43" ht="14.25" customHeight="1">
      <c r="D287"/>
      <c r="E287"/>
      <c r="F287"/>
      <c r="G287"/>
      <c r="H287"/>
      <c r="I287"/>
      <c r="J287"/>
      <c r="K287"/>
      <c r="L287"/>
      <c r="M287"/>
      <c r="N287" s="46"/>
      <c r="O287"/>
      <c r="P287"/>
      <c r="Q287"/>
      <c r="R287"/>
      <c r="S287"/>
      <c r="T287"/>
      <c r="U287"/>
      <c r="V287"/>
      <c r="W287"/>
      <c r="X287"/>
      <c r="Y287"/>
      <c r="Z287"/>
      <c r="AA287"/>
      <c r="AB287" s="64"/>
      <c r="AQ287" s="47"/>
    </row>
    <row r="288" spans="4:43" ht="14.25" customHeight="1">
      <c r="D288"/>
      <c r="E288"/>
      <c r="F288"/>
      <c r="G288"/>
      <c r="H288"/>
      <c r="I288"/>
      <c r="J288"/>
      <c r="K288"/>
      <c r="L288"/>
      <c r="M288"/>
      <c r="N288" s="46"/>
      <c r="O288"/>
      <c r="P288"/>
      <c r="Q288"/>
      <c r="R288"/>
      <c r="S288"/>
      <c r="T288"/>
      <c r="U288"/>
      <c r="V288"/>
      <c r="W288"/>
      <c r="X288"/>
      <c r="Y288"/>
      <c r="Z288"/>
      <c r="AA288"/>
      <c r="AB288" s="64"/>
      <c r="AQ288" s="47"/>
    </row>
    <row r="289" spans="4:43" ht="14.25" customHeight="1">
      <c r="D289"/>
      <c r="E289"/>
      <c r="F289"/>
      <c r="G289"/>
      <c r="H289"/>
      <c r="I289"/>
      <c r="J289"/>
      <c r="K289"/>
      <c r="L289"/>
      <c r="M289"/>
      <c r="N289" s="46"/>
      <c r="O289"/>
      <c r="P289"/>
      <c r="Q289"/>
      <c r="R289"/>
      <c r="S289"/>
      <c r="T289"/>
      <c r="U289"/>
      <c r="V289"/>
      <c r="W289"/>
      <c r="X289"/>
      <c r="Y289"/>
      <c r="Z289"/>
      <c r="AA289"/>
      <c r="AB289" s="64"/>
      <c r="AQ289" s="47"/>
    </row>
    <row r="290" spans="4:43" ht="14.25" customHeight="1">
      <c r="D290"/>
      <c r="E290"/>
      <c r="F290"/>
      <c r="G290"/>
      <c r="H290"/>
      <c r="I290"/>
      <c r="J290"/>
      <c r="K290"/>
      <c r="L290"/>
      <c r="M290"/>
      <c r="N290" s="46"/>
      <c r="O290"/>
      <c r="P290"/>
      <c r="Q290"/>
      <c r="R290"/>
      <c r="S290"/>
      <c r="T290"/>
      <c r="U290"/>
      <c r="V290"/>
      <c r="W290"/>
      <c r="X290"/>
      <c r="Y290"/>
      <c r="Z290"/>
      <c r="AA290"/>
      <c r="AB290" s="64"/>
      <c r="AQ290" s="47"/>
    </row>
    <row r="291" spans="4:43" ht="14.25" customHeight="1">
      <c r="D291"/>
      <c r="E291"/>
      <c r="F291"/>
      <c r="G291"/>
      <c r="H291"/>
      <c r="I291"/>
      <c r="J291"/>
      <c r="K291"/>
      <c r="L291"/>
      <c r="M291"/>
      <c r="N291" s="46"/>
      <c r="O291"/>
      <c r="P291"/>
      <c r="Q291"/>
      <c r="R291"/>
      <c r="S291"/>
      <c r="T291"/>
      <c r="U291"/>
      <c r="V291"/>
      <c r="W291"/>
      <c r="X291"/>
      <c r="Y291"/>
      <c r="Z291"/>
      <c r="AA291"/>
      <c r="AB291" s="64"/>
      <c r="AQ291" s="47"/>
    </row>
    <row r="292" spans="4:43" ht="14.25" customHeight="1">
      <c r="D292"/>
      <c r="E292"/>
      <c r="F292"/>
      <c r="G292"/>
      <c r="H292"/>
      <c r="I292"/>
      <c r="J292"/>
      <c r="K292"/>
      <c r="L292"/>
      <c r="M292"/>
      <c r="N292" s="46"/>
      <c r="O292"/>
      <c r="P292"/>
      <c r="Q292"/>
      <c r="R292"/>
      <c r="S292"/>
      <c r="T292"/>
      <c r="U292"/>
      <c r="V292"/>
      <c r="W292"/>
      <c r="X292"/>
      <c r="Y292"/>
      <c r="Z292"/>
      <c r="AA292"/>
      <c r="AB292" s="64"/>
      <c r="AQ292" s="47"/>
    </row>
    <row r="293" spans="4:43" ht="14.25" customHeight="1">
      <c r="D293"/>
      <c r="E293"/>
      <c r="F293"/>
      <c r="G293"/>
      <c r="H293"/>
      <c r="I293"/>
      <c r="J293"/>
      <c r="K293"/>
      <c r="L293"/>
      <c r="M293"/>
      <c r="N293" s="46"/>
      <c r="O293"/>
      <c r="P293"/>
      <c r="Q293"/>
      <c r="R293"/>
      <c r="S293"/>
      <c r="T293"/>
      <c r="U293"/>
      <c r="V293"/>
      <c r="W293"/>
      <c r="X293"/>
      <c r="Y293"/>
      <c r="Z293"/>
      <c r="AA293"/>
      <c r="AB293" s="64"/>
      <c r="AQ293" s="47"/>
    </row>
    <row r="294" spans="4:43" ht="14.25" customHeight="1">
      <c r="D294"/>
      <c r="E294"/>
      <c r="F294"/>
      <c r="G294"/>
      <c r="H294"/>
      <c r="I294"/>
      <c r="J294"/>
      <c r="K294"/>
      <c r="L294"/>
      <c r="M294"/>
      <c r="N294" s="46"/>
      <c r="O294"/>
      <c r="P294"/>
      <c r="Q294"/>
      <c r="R294"/>
      <c r="S294"/>
      <c r="T294"/>
      <c r="U294"/>
      <c r="V294"/>
      <c r="W294"/>
      <c r="X294"/>
      <c r="Y294"/>
      <c r="Z294"/>
      <c r="AA294"/>
      <c r="AB294" s="64"/>
      <c r="AQ294" s="47"/>
    </row>
    <row r="295" spans="4:43" ht="14.25" customHeight="1">
      <c r="D295"/>
      <c r="E295"/>
      <c r="F295"/>
      <c r="G295"/>
      <c r="H295"/>
      <c r="I295"/>
      <c r="J295"/>
      <c r="K295"/>
      <c r="L295"/>
      <c r="M295"/>
      <c r="N295" s="46"/>
      <c r="O295"/>
      <c r="P295"/>
      <c r="Q295"/>
      <c r="R295"/>
      <c r="S295"/>
      <c r="T295"/>
      <c r="U295"/>
      <c r="V295"/>
      <c r="W295"/>
      <c r="X295"/>
      <c r="Y295"/>
      <c r="Z295"/>
      <c r="AA295"/>
      <c r="AB295" s="64"/>
      <c r="AQ295" s="47"/>
    </row>
    <row r="296" spans="4:43" ht="14.25" customHeight="1">
      <c r="D296"/>
      <c r="E296"/>
      <c r="F296"/>
      <c r="G296"/>
      <c r="H296"/>
      <c r="I296"/>
      <c r="J296"/>
      <c r="K296"/>
      <c r="L296"/>
      <c r="M296"/>
      <c r="N296" s="46"/>
      <c r="O296"/>
      <c r="P296"/>
      <c r="Q296"/>
      <c r="R296"/>
      <c r="S296"/>
      <c r="T296"/>
      <c r="U296"/>
      <c r="V296"/>
      <c r="W296"/>
      <c r="X296"/>
      <c r="Y296"/>
      <c r="Z296"/>
      <c r="AA296"/>
      <c r="AB296" s="64"/>
      <c r="AQ296" s="47"/>
    </row>
    <row r="297" spans="4:43" ht="14.25" customHeight="1">
      <c r="D297"/>
      <c r="E297"/>
      <c r="F297"/>
      <c r="G297"/>
      <c r="H297"/>
      <c r="I297"/>
      <c r="J297"/>
      <c r="K297"/>
      <c r="L297"/>
      <c r="M297"/>
      <c r="N297" s="46"/>
      <c r="O297"/>
      <c r="P297"/>
      <c r="Q297"/>
      <c r="R297"/>
      <c r="S297"/>
      <c r="T297"/>
      <c r="U297"/>
      <c r="V297"/>
      <c r="W297"/>
      <c r="X297"/>
      <c r="Y297"/>
      <c r="Z297"/>
      <c r="AA297"/>
      <c r="AB297" s="64"/>
      <c r="AQ297" s="47"/>
    </row>
    <row r="298" spans="4:43" ht="14.25" customHeight="1">
      <c r="D298"/>
      <c r="E298"/>
      <c r="F298"/>
      <c r="G298"/>
      <c r="H298"/>
      <c r="I298"/>
      <c r="J298"/>
      <c r="K298"/>
      <c r="L298"/>
      <c r="M298"/>
      <c r="N298" s="46"/>
      <c r="O298"/>
      <c r="P298"/>
      <c r="Q298"/>
      <c r="R298"/>
      <c r="S298"/>
      <c r="T298"/>
      <c r="U298"/>
      <c r="V298"/>
      <c r="W298"/>
      <c r="X298"/>
      <c r="Y298"/>
      <c r="Z298"/>
      <c r="AA298"/>
      <c r="AB298" s="64"/>
      <c r="AQ298" s="47"/>
    </row>
    <row r="299" spans="4:43" ht="14.25" customHeight="1">
      <c r="D299"/>
      <c r="E299"/>
      <c r="F299"/>
      <c r="G299"/>
      <c r="H299"/>
      <c r="I299"/>
      <c r="J299"/>
      <c r="K299"/>
      <c r="L299"/>
      <c r="M299"/>
      <c r="N299" s="46"/>
      <c r="O299"/>
      <c r="P299"/>
      <c r="Q299"/>
      <c r="R299"/>
      <c r="S299"/>
      <c r="T299"/>
      <c r="U299"/>
      <c r="V299"/>
      <c r="W299"/>
      <c r="X299"/>
      <c r="Y299"/>
      <c r="Z299"/>
      <c r="AA299"/>
      <c r="AB299" s="64"/>
      <c r="AQ299" s="47"/>
    </row>
    <row r="300" spans="4:43" ht="14.25" customHeight="1">
      <c r="D300"/>
      <c r="E300"/>
      <c r="F300"/>
      <c r="G300"/>
      <c r="H300"/>
      <c r="I300"/>
      <c r="J300"/>
      <c r="K300"/>
      <c r="L300"/>
      <c r="M300"/>
      <c r="N300" s="46"/>
      <c r="O300"/>
      <c r="P300"/>
      <c r="Q300"/>
      <c r="R300"/>
      <c r="S300"/>
      <c r="T300"/>
      <c r="U300"/>
      <c r="V300"/>
      <c r="W300"/>
      <c r="X300"/>
      <c r="Y300"/>
      <c r="Z300"/>
      <c r="AA300"/>
      <c r="AB300" s="64"/>
      <c r="AQ300" s="47"/>
    </row>
    <row r="301" spans="4:43" ht="14.25" customHeight="1">
      <c r="D301"/>
      <c r="E301"/>
      <c r="F301"/>
      <c r="G301"/>
      <c r="H301"/>
      <c r="I301"/>
      <c r="J301"/>
      <c r="K301"/>
      <c r="L301"/>
      <c r="M301"/>
      <c r="N301" s="46"/>
      <c r="O301"/>
      <c r="P301"/>
      <c r="Q301"/>
      <c r="R301"/>
      <c r="S301"/>
      <c r="T301"/>
      <c r="U301"/>
      <c r="V301"/>
      <c r="W301"/>
      <c r="X301"/>
      <c r="Y301"/>
      <c r="Z301"/>
      <c r="AA301"/>
      <c r="AB301" s="64"/>
      <c r="AQ301" s="47"/>
    </row>
    <row r="302" spans="4:43" ht="14.25" customHeight="1">
      <c r="D302"/>
      <c r="E302"/>
      <c r="F302"/>
      <c r="G302"/>
      <c r="H302"/>
      <c r="I302"/>
      <c r="J302"/>
      <c r="K302"/>
      <c r="L302"/>
      <c r="M302"/>
      <c r="N302" s="46"/>
      <c r="O302"/>
      <c r="P302"/>
      <c r="Q302"/>
      <c r="R302"/>
      <c r="S302"/>
      <c r="T302"/>
      <c r="U302"/>
      <c r="V302"/>
      <c r="W302"/>
      <c r="X302"/>
      <c r="Y302"/>
      <c r="Z302"/>
      <c r="AA302"/>
      <c r="AB302" s="64"/>
      <c r="AQ302" s="47"/>
    </row>
    <row r="303" spans="4:43" ht="14.25" customHeight="1">
      <c r="D303"/>
      <c r="E303"/>
      <c r="F303"/>
      <c r="G303"/>
      <c r="H303"/>
      <c r="I303"/>
      <c r="J303"/>
      <c r="K303"/>
      <c r="L303"/>
      <c r="M303"/>
      <c r="N303" s="46"/>
      <c r="O303"/>
      <c r="P303"/>
      <c r="Q303"/>
      <c r="R303"/>
      <c r="S303"/>
      <c r="T303"/>
      <c r="U303"/>
      <c r="V303"/>
      <c r="W303"/>
      <c r="X303"/>
      <c r="Y303"/>
      <c r="Z303"/>
      <c r="AA303"/>
      <c r="AB303" s="64"/>
      <c r="AQ303" s="47"/>
    </row>
    <row r="304" spans="4:43" ht="14.25" customHeight="1">
      <c r="D304"/>
      <c r="E304"/>
      <c r="F304"/>
      <c r="G304"/>
      <c r="H304"/>
      <c r="I304"/>
      <c r="J304"/>
      <c r="K304"/>
      <c r="L304"/>
      <c r="M304"/>
      <c r="N304" s="46"/>
      <c r="O304"/>
      <c r="P304"/>
      <c r="Q304"/>
      <c r="R304"/>
      <c r="S304"/>
      <c r="T304"/>
      <c r="U304"/>
      <c r="V304"/>
      <c r="W304"/>
      <c r="X304"/>
      <c r="Y304"/>
      <c r="Z304"/>
      <c r="AA304"/>
      <c r="AB304" s="64"/>
      <c r="AQ304" s="47"/>
    </row>
    <row r="305" spans="4:43" ht="14.25" customHeight="1">
      <c r="D305"/>
      <c r="E305"/>
      <c r="F305"/>
      <c r="G305"/>
      <c r="H305"/>
      <c r="I305"/>
      <c r="J305"/>
      <c r="K305"/>
      <c r="L305"/>
      <c r="M305"/>
      <c r="N305" s="46"/>
      <c r="O305"/>
      <c r="P305"/>
      <c r="Q305"/>
      <c r="R305"/>
      <c r="S305"/>
      <c r="T305"/>
      <c r="U305"/>
      <c r="V305"/>
      <c r="W305"/>
      <c r="X305"/>
      <c r="Y305"/>
      <c r="Z305"/>
      <c r="AA305"/>
      <c r="AB305" s="64"/>
      <c r="AQ305" s="47"/>
    </row>
    <row r="306" spans="4:43" ht="14.25" customHeight="1">
      <c r="D306"/>
      <c r="E306"/>
      <c r="F306"/>
      <c r="G306"/>
      <c r="H306"/>
      <c r="I306"/>
      <c r="J306"/>
      <c r="K306"/>
      <c r="L306"/>
      <c r="M306"/>
      <c r="N306" s="46"/>
      <c r="O306"/>
      <c r="P306"/>
      <c r="Q306"/>
      <c r="R306"/>
      <c r="S306"/>
      <c r="T306"/>
      <c r="U306"/>
      <c r="V306"/>
      <c r="W306"/>
      <c r="X306"/>
      <c r="Y306"/>
      <c r="Z306"/>
      <c r="AA306"/>
      <c r="AB306" s="64"/>
      <c r="AQ306" s="47"/>
    </row>
    <row r="307" spans="4:43" ht="14.25" customHeight="1">
      <c r="D307"/>
      <c r="E307"/>
      <c r="F307"/>
      <c r="G307"/>
      <c r="H307"/>
      <c r="I307"/>
      <c r="J307"/>
      <c r="K307"/>
      <c r="L307"/>
      <c r="M307"/>
      <c r="N307" s="46"/>
      <c r="O307"/>
      <c r="P307"/>
      <c r="Q307"/>
      <c r="R307"/>
      <c r="S307"/>
      <c r="T307"/>
      <c r="U307"/>
      <c r="V307"/>
      <c r="W307"/>
      <c r="X307"/>
      <c r="Y307"/>
      <c r="Z307"/>
      <c r="AA307"/>
      <c r="AB307" s="64"/>
      <c r="AQ307" s="47"/>
    </row>
    <row r="308" spans="4:43" ht="14.25" customHeight="1">
      <c r="D308"/>
      <c r="E308"/>
      <c r="F308"/>
      <c r="G308"/>
      <c r="H308"/>
      <c r="I308"/>
      <c r="J308"/>
      <c r="K308"/>
      <c r="L308"/>
      <c r="M308"/>
      <c r="N308" s="46"/>
      <c r="O308"/>
      <c r="P308"/>
      <c r="Q308"/>
      <c r="R308"/>
      <c r="S308"/>
      <c r="T308"/>
      <c r="U308"/>
      <c r="V308"/>
      <c r="W308"/>
      <c r="X308"/>
      <c r="Y308"/>
      <c r="Z308"/>
      <c r="AA308"/>
      <c r="AB308" s="64"/>
      <c r="AQ308" s="47"/>
    </row>
    <row r="309" spans="4:43" ht="14.25" customHeight="1">
      <c r="D309"/>
      <c r="E309"/>
      <c r="F309"/>
      <c r="G309"/>
      <c r="H309"/>
      <c r="I309"/>
      <c r="J309"/>
      <c r="K309"/>
      <c r="L309"/>
      <c r="M309"/>
      <c r="N309" s="46"/>
      <c r="O309"/>
      <c r="P309"/>
      <c r="Q309"/>
      <c r="R309"/>
      <c r="S309"/>
      <c r="T309"/>
      <c r="U309"/>
      <c r="V309"/>
      <c r="W309"/>
      <c r="X309"/>
      <c r="Y309"/>
      <c r="Z309"/>
      <c r="AA309"/>
      <c r="AB309" s="64"/>
      <c r="AQ309" s="47"/>
    </row>
    <row r="310" spans="4:43" ht="14.25" customHeight="1">
      <c r="D310"/>
      <c r="E310"/>
      <c r="F310"/>
      <c r="G310"/>
      <c r="H310"/>
      <c r="I310"/>
      <c r="J310"/>
      <c r="K310"/>
      <c r="L310"/>
      <c r="M310"/>
      <c r="N310" s="46"/>
      <c r="O310"/>
      <c r="P310"/>
      <c r="Q310"/>
      <c r="R310"/>
      <c r="S310"/>
      <c r="T310"/>
      <c r="U310"/>
      <c r="V310"/>
      <c r="W310"/>
      <c r="X310"/>
      <c r="Y310"/>
      <c r="Z310"/>
      <c r="AA310"/>
      <c r="AB310" s="64"/>
      <c r="AQ310" s="47"/>
    </row>
    <row r="311" spans="4:43" ht="14.25" customHeight="1">
      <c r="D311"/>
      <c r="E311"/>
      <c r="F311"/>
      <c r="G311"/>
      <c r="H311"/>
      <c r="I311"/>
      <c r="J311"/>
      <c r="K311"/>
      <c r="L311"/>
      <c r="M311"/>
      <c r="N311" s="46"/>
      <c r="O311"/>
      <c r="P311"/>
      <c r="Q311"/>
      <c r="R311"/>
      <c r="S311"/>
      <c r="T311"/>
      <c r="U311"/>
      <c r="V311"/>
      <c r="W311"/>
      <c r="X311"/>
      <c r="Y311"/>
      <c r="Z311"/>
      <c r="AA311"/>
      <c r="AB311" s="64"/>
      <c r="AQ311" s="47"/>
    </row>
    <row r="312" spans="4:43" ht="14.25" customHeight="1">
      <c r="D312"/>
      <c r="E312"/>
      <c r="F312"/>
      <c r="G312"/>
      <c r="H312"/>
      <c r="I312"/>
      <c r="J312"/>
      <c r="K312"/>
      <c r="L312"/>
      <c r="M312"/>
      <c r="N312" s="46"/>
      <c r="O312"/>
      <c r="P312"/>
      <c r="Q312"/>
      <c r="R312"/>
      <c r="S312"/>
      <c r="T312"/>
      <c r="U312"/>
      <c r="V312"/>
      <c r="W312"/>
      <c r="X312"/>
      <c r="Y312"/>
      <c r="Z312"/>
      <c r="AA312"/>
      <c r="AB312" s="64"/>
      <c r="AQ312" s="47"/>
    </row>
    <row r="313" spans="4:43" ht="14.25" customHeight="1">
      <c r="D313"/>
      <c r="E313"/>
      <c r="F313"/>
      <c r="G313"/>
      <c r="H313"/>
      <c r="I313"/>
      <c r="J313"/>
      <c r="K313"/>
      <c r="L313"/>
      <c r="M313"/>
      <c r="N313" s="46"/>
      <c r="O313"/>
      <c r="P313"/>
      <c r="Q313"/>
      <c r="R313"/>
      <c r="S313"/>
      <c r="T313"/>
      <c r="U313"/>
      <c r="V313"/>
      <c r="W313"/>
      <c r="X313"/>
      <c r="Y313"/>
      <c r="Z313"/>
      <c r="AA313"/>
      <c r="AB313" s="64"/>
      <c r="AQ313" s="47"/>
    </row>
    <row r="314" spans="4:43" ht="14.25" customHeight="1">
      <c r="D314"/>
      <c r="E314"/>
      <c r="F314"/>
      <c r="G314"/>
      <c r="H314"/>
      <c r="I314"/>
      <c r="J314"/>
      <c r="K314"/>
      <c r="L314"/>
      <c r="M314"/>
      <c r="N314" s="46"/>
      <c r="O314"/>
      <c r="P314"/>
      <c r="Q314"/>
      <c r="R314"/>
      <c r="S314"/>
      <c r="T314"/>
      <c r="U314"/>
      <c r="V314"/>
      <c r="W314"/>
      <c r="X314"/>
      <c r="Y314"/>
      <c r="Z314"/>
      <c r="AA314"/>
      <c r="AB314" s="64"/>
      <c r="AQ314" s="47"/>
    </row>
    <row r="315" spans="4:43" ht="14.25" customHeight="1">
      <c r="D315"/>
      <c r="E315"/>
      <c r="F315"/>
      <c r="G315"/>
      <c r="H315"/>
      <c r="I315"/>
      <c r="J315"/>
      <c r="K315"/>
      <c r="L315"/>
      <c r="M315"/>
      <c r="N315" s="46"/>
      <c r="O315"/>
      <c r="P315"/>
      <c r="Q315"/>
      <c r="R315"/>
      <c r="S315"/>
      <c r="T315"/>
      <c r="U315"/>
      <c r="V315"/>
      <c r="W315"/>
      <c r="X315"/>
      <c r="Y315"/>
      <c r="Z315"/>
      <c r="AA315"/>
      <c r="AB315" s="64"/>
      <c r="AQ315" s="47"/>
    </row>
    <row r="316" spans="4:43" ht="14.25" customHeight="1">
      <c r="D316"/>
      <c r="E316"/>
      <c r="F316"/>
      <c r="G316"/>
      <c r="H316"/>
      <c r="I316"/>
      <c r="J316"/>
      <c r="K316"/>
      <c r="L316"/>
      <c r="M316"/>
      <c r="N316" s="46"/>
      <c r="O316"/>
      <c r="P316"/>
      <c r="Q316"/>
      <c r="R316"/>
      <c r="S316"/>
      <c r="T316"/>
      <c r="U316"/>
      <c r="V316"/>
      <c r="W316"/>
      <c r="X316"/>
      <c r="Y316"/>
      <c r="Z316"/>
      <c r="AA316"/>
      <c r="AB316" s="64"/>
      <c r="AQ316" s="47"/>
    </row>
    <row r="317" spans="4:43" ht="14.25" customHeight="1">
      <c r="D317"/>
      <c r="E317"/>
      <c r="F317"/>
      <c r="G317"/>
      <c r="H317"/>
      <c r="I317"/>
      <c r="J317"/>
      <c r="K317"/>
      <c r="L317"/>
      <c r="M317"/>
      <c r="N317" s="46"/>
      <c r="O317"/>
      <c r="P317"/>
      <c r="Q317"/>
      <c r="R317"/>
      <c r="S317"/>
      <c r="T317"/>
      <c r="U317"/>
      <c r="V317"/>
      <c r="W317"/>
      <c r="X317"/>
      <c r="Y317"/>
      <c r="Z317"/>
      <c r="AA317"/>
      <c r="AB317" s="64"/>
      <c r="AQ317" s="47"/>
    </row>
    <row r="318" spans="4:43" ht="14.25" customHeight="1">
      <c r="D318"/>
      <c r="E318"/>
      <c r="F318"/>
      <c r="G318"/>
      <c r="H318"/>
      <c r="I318"/>
      <c r="J318"/>
      <c r="K318"/>
      <c r="L318"/>
      <c r="M318"/>
      <c r="N318" s="46"/>
      <c r="O318"/>
      <c r="P318"/>
      <c r="Q318"/>
      <c r="R318"/>
      <c r="S318"/>
      <c r="T318"/>
      <c r="U318"/>
      <c r="V318"/>
      <c r="W318"/>
      <c r="X318"/>
      <c r="Y318"/>
      <c r="Z318"/>
      <c r="AA318"/>
      <c r="AB318" s="64"/>
      <c r="AQ318" s="47"/>
    </row>
    <row r="319" spans="4:43" ht="14.25" customHeight="1">
      <c r="D319"/>
      <c r="E319"/>
      <c r="F319"/>
      <c r="G319"/>
      <c r="H319"/>
      <c r="I319"/>
      <c r="J319"/>
      <c r="K319"/>
      <c r="L319"/>
      <c r="M319"/>
      <c r="N319" s="46"/>
      <c r="O319"/>
      <c r="P319"/>
      <c r="Q319"/>
      <c r="R319"/>
      <c r="S319"/>
      <c r="T319"/>
      <c r="U319"/>
      <c r="V319"/>
      <c r="W319"/>
      <c r="X319"/>
      <c r="Y319"/>
      <c r="Z319"/>
      <c r="AA319"/>
      <c r="AB319" s="64"/>
      <c r="AQ319" s="47"/>
    </row>
    <row r="320" spans="4:43" ht="14.25" customHeight="1">
      <c r="D320"/>
      <c r="E320"/>
      <c r="F320"/>
      <c r="G320"/>
      <c r="H320"/>
      <c r="I320"/>
      <c r="J320"/>
      <c r="K320"/>
      <c r="L320"/>
      <c r="M320"/>
      <c r="N320" s="46"/>
      <c r="O320"/>
      <c r="P320"/>
      <c r="Q320"/>
      <c r="R320"/>
      <c r="S320"/>
      <c r="T320"/>
      <c r="U320"/>
      <c r="V320"/>
      <c r="W320"/>
      <c r="X320"/>
      <c r="Y320"/>
      <c r="Z320"/>
      <c r="AA320"/>
      <c r="AB320" s="64"/>
      <c r="AQ320" s="47"/>
    </row>
    <row r="321" spans="4:43" ht="14.25" customHeight="1">
      <c r="D321"/>
      <c r="E321"/>
      <c r="F321"/>
      <c r="G321"/>
      <c r="H321"/>
      <c r="I321"/>
      <c r="J321"/>
      <c r="K321"/>
      <c r="L321"/>
      <c r="M321"/>
      <c r="N321" s="46"/>
      <c r="O321"/>
      <c r="P321"/>
      <c r="Q321"/>
      <c r="R321"/>
      <c r="S321"/>
      <c r="T321"/>
      <c r="U321"/>
      <c r="V321"/>
      <c r="W321"/>
      <c r="X321"/>
      <c r="Y321"/>
      <c r="Z321"/>
      <c r="AA321"/>
      <c r="AB321" s="64"/>
      <c r="AQ321" s="47"/>
    </row>
    <row r="322" spans="4:43" ht="14.25" customHeight="1">
      <c r="D322"/>
      <c r="E322"/>
      <c r="F322"/>
      <c r="G322"/>
      <c r="H322"/>
      <c r="I322"/>
      <c r="J322"/>
      <c r="K322"/>
      <c r="L322"/>
      <c r="M322"/>
      <c r="N322" s="46"/>
      <c r="O322"/>
      <c r="P322"/>
      <c r="Q322"/>
      <c r="R322"/>
      <c r="S322"/>
      <c r="T322"/>
      <c r="U322"/>
      <c r="V322"/>
      <c r="W322"/>
      <c r="X322"/>
      <c r="Y322"/>
      <c r="Z322"/>
      <c r="AA322"/>
      <c r="AB322" s="64"/>
      <c r="AQ322" s="47"/>
    </row>
    <row r="323" spans="4:43" ht="14.25" customHeight="1">
      <c r="D323"/>
      <c r="E323"/>
      <c r="F323"/>
      <c r="G323"/>
      <c r="H323"/>
      <c r="I323"/>
      <c r="J323"/>
      <c r="K323"/>
      <c r="L323"/>
      <c r="M323"/>
      <c r="N323" s="46"/>
      <c r="O323"/>
      <c r="P323"/>
      <c r="Q323"/>
      <c r="R323"/>
      <c r="S323"/>
      <c r="T323"/>
      <c r="U323"/>
      <c r="V323"/>
      <c r="W323"/>
      <c r="X323"/>
      <c r="Y323"/>
      <c r="Z323"/>
      <c r="AA323"/>
      <c r="AB323" s="64"/>
      <c r="AQ323" s="47"/>
    </row>
    <row r="324" spans="4:43" ht="14.25" customHeight="1">
      <c r="D324"/>
      <c r="E324"/>
      <c r="F324"/>
      <c r="G324"/>
      <c r="H324"/>
      <c r="I324"/>
      <c r="J324"/>
      <c r="K324"/>
      <c r="L324"/>
      <c r="M324"/>
      <c r="N324" s="46"/>
      <c r="O324"/>
      <c r="P324"/>
      <c r="Q324"/>
      <c r="R324"/>
      <c r="S324"/>
      <c r="T324"/>
      <c r="U324"/>
      <c r="V324"/>
      <c r="W324"/>
      <c r="X324"/>
      <c r="Y324"/>
      <c r="Z324"/>
      <c r="AA324"/>
      <c r="AB324" s="64"/>
      <c r="AQ324" s="47"/>
    </row>
    <row r="325" spans="4:43" ht="14.25" customHeight="1">
      <c r="D325"/>
      <c r="E325"/>
      <c r="F325"/>
      <c r="G325"/>
      <c r="H325"/>
      <c r="I325"/>
      <c r="J325"/>
      <c r="K325"/>
      <c r="L325"/>
      <c r="M325"/>
      <c r="N325" s="46"/>
      <c r="O325"/>
      <c r="P325"/>
      <c r="Q325"/>
      <c r="R325"/>
      <c r="S325"/>
      <c r="T325"/>
      <c r="U325"/>
      <c r="V325"/>
      <c r="W325"/>
      <c r="X325"/>
      <c r="Y325"/>
      <c r="Z325"/>
      <c r="AA325"/>
      <c r="AB325" s="64"/>
      <c r="AQ325" s="47"/>
    </row>
    <row r="326" spans="4:43" ht="14.25" customHeight="1">
      <c r="D326"/>
      <c r="E326"/>
      <c r="F326"/>
      <c r="G326"/>
      <c r="H326"/>
      <c r="I326"/>
      <c r="J326"/>
      <c r="K326"/>
      <c r="L326"/>
      <c r="M326"/>
      <c r="N326" s="46"/>
      <c r="O326"/>
      <c r="P326"/>
      <c r="Q326"/>
      <c r="R326"/>
      <c r="S326"/>
      <c r="T326"/>
      <c r="U326"/>
      <c r="V326"/>
      <c r="W326"/>
      <c r="X326"/>
      <c r="Y326"/>
      <c r="Z326"/>
      <c r="AA326"/>
      <c r="AB326" s="64"/>
      <c r="AQ326" s="47"/>
    </row>
    <row r="327" spans="4:43" ht="14.25" customHeight="1">
      <c r="D327"/>
      <c r="E327"/>
      <c r="F327"/>
      <c r="G327"/>
      <c r="H327"/>
      <c r="I327"/>
      <c r="J327"/>
      <c r="K327"/>
      <c r="L327"/>
      <c r="M327"/>
      <c r="N327" s="46"/>
      <c r="O327"/>
      <c r="P327"/>
      <c r="Q327"/>
      <c r="R327"/>
      <c r="S327"/>
      <c r="T327"/>
      <c r="U327"/>
      <c r="V327"/>
      <c r="W327"/>
      <c r="X327"/>
      <c r="Y327"/>
      <c r="Z327"/>
      <c r="AA327"/>
      <c r="AB327" s="64"/>
      <c r="AQ327" s="47"/>
    </row>
    <row r="328" spans="4:43" ht="14.25" customHeight="1">
      <c r="D328"/>
      <c r="E328"/>
      <c r="F328"/>
      <c r="G328"/>
      <c r="H328"/>
      <c r="I328"/>
      <c r="J328"/>
      <c r="K328"/>
      <c r="L328"/>
      <c r="M328"/>
      <c r="N328" s="46"/>
      <c r="O328"/>
      <c r="P328"/>
      <c r="Q328"/>
      <c r="R328"/>
      <c r="S328"/>
      <c r="T328"/>
      <c r="U328"/>
      <c r="V328"/>
      <c r="W328"/>
      <c r="X328"/>
      <c r="Y328"/>
      <c r="Z328"/>
      <c r="AA328"/>
      <c r="AB328" s="64"/>
      <c r="AQ328" s="47"/>
    </row>
    <row r="329" spans="4:43" ht="14.25" customHeight="1">
      <c r="D329"/>
      <c r="E329"/>
      <c r="F329"/>
      <c r="G329"/>
      <c r="H329"/>
      <c r="I329"/>
      <c r="J329"/>
      <c r="K329"/>
      <c r="L329"/>
      <c r="M329"/>
      <c r="N329" s="46"/>
      <c r="O329"/>
      <c r="P329"/>
      <c r="Q329"/>
      <c r="R329"/>
      <c r="S329"/>
      <c r="T329"/>
      <c r="U329"/>
      <c r="V329"/>
      <c r="W329"/>
      <c r="X329"/>
      <c r="Y329"/>
      <c r="Z329"/>
      <c r="AA329"/>
      <c r="AB329" s="64"/>
      <c r="AQ329" s="47"/>
    </row>
    <row r="330" spans="4:43" ht="14.25" customHeight="1">
      <c r="D330"/>
      <c r="E330"/>
      <c r="F330"/>
      <c r="G330"/>
      <c r="H330"/>
      <c r="I330"/>
      <c r="J330"/>
      <c r="K330"/>
      <c r="L330"/>
      <c r="M330"/>
      <c r="N330" s="46"/>
      <c r="O330"/>
      <c r="P330"/>
      <c r="Q330"/>
      <c r="R330"/>
      <c r="S330"/>
      <c r="T330"/>
      <c r="U330"/>
      <c r="V330"/>
      <c r="W330"/>
      <c r="X330"/>
      <c r="Y330"/>
      <c r="Z330"/>
      <c r="AA330"/>
      <c r="AB330" s="64"/>
      <c r="AQ330" s="47"/>
    </row>
    <row r="331" spans="4:43" ht="14.25" customHeight="1">
      <c r="D331"/>
      <c r="E331"/>
      <c r="F331"/>
      <c r="G331"/>
      <c r="H331"/>
      <c r="I331"/>
      <c r="J331"/>
      <c r="K331"/>
      <c r="L331"/>
      <c r="M331"/>
      <c r="N331" s="46"/>
      <c r="O331"/>
      <c r="P331"/>
      <c r="Q331"/>
      <c r="R331"/>
      <c r="S331"/>
      <c r="T331"/>
      <c r="U331"/>
      <c r="V331"/>
      <c r="W331"/>
      <c r="X331"/>
      <c r="Y331"/>
      <c r="Z331"/>
      <c r="AA331"/>
      <c r="AB331" s="64"/>
      <c r="AQ331" s="47"/>
    </row>
    <row r="332" spans="4:43" ht="14.25" customHeight="1">
      <c r="D332"/>
      <c r="E332"/>
      <c r="F332"/>
      <c r="G332"/>
      <c r="H332"/>
      <c r="I332"/>
      <c r="J332"/>
      <c r="K332"/>
      <c r="L332"/>
      <c r="M332"/>
      <c r="N332" s="46"/>
      <c r="O332"/>
      <c r="P332"/>
      <c r="Q332"/>
      <c r="R332"/>
      <c r="S332"/>
      <c r="T332"/>
      <c r="U332"/>
      <c r="V332"/>
      <c r="W332"/>
      <c r="X332"/>
      <c r="Y332"/>
      <c r="Z332"/>
      <c r="AA332"/>
      <c r="AB332" s="64"/>
      <c r="AQ332" s="47"/>
    </row>
    <row r="333" spans="4:43" ht="14.25" customHeight="1">
      <c r="D333"/>
      <c r="E333"/>
      <c r="F333"/>
      <c r="G333"/>
      <c r="H333"/>
      <c r="I333"/>
      <c r="J333"/>
      <c r="K333"/>
      <c r="L333"/>
      <c r="M333"/>
      <c r="N333" s="46"/>
      <c r="O333"/>
      <c r="P333"/>
      <c r="Q333"/>
      <c r="R333"/>
      <c r="S333"/>
      <c r="T333"/>
      <c r="U333"/>
      <c r="V333"/>
      <c r="W333"/>
      <c r="X333"/>
      <c r="Y333"/>
      <c r="Z333"/>
      <c r="AA333"/>
      <c r="AB333" s="64"/>
      <c r="AQ333" s="47"/>
    </row>
    <row r="334" spans="4:43" ht="14.25" customHeight="1">
      <c r="D334"/>
      <c r="E334"/>
      <c r="F334"/>
      <c r="G334"/>
      <c r="H334"/>
      <c r="I334"/>
      <c r="J334"/>
      <c r="K334"/>
      <c r="L334"/>
      <c r="M334"/>
      <c r="N334" s="46"/>
      <c r="O334"/>
      <c r="P334"/>
      <c r="Q334"/>
      <c r="R334"/>
      <c r="S334"/>
      <c r="T334"/>
      <c r="U334"/>
      <c r="V334"/>
      <c r="W334"/>
      <c r="X334"/>
      <c r="Y334"/>
      <c r="Z334"/>
      <c r="AA334"/>
      <c r="AB334" s="64"/>
      <c r="AQ334" s="47"/>
    </row>
    <row r="335" spans="4:43" ht="14.25" customHeight="1">
      <c r="D335"/>
      <c r="E335"/>
      <c r="F335"/>
      <c r="G335"/>
      <c r="H335"/>
      <c r="I335"/>
      <c r="J335"/>
      <c r="K335"/>
      <c r="L335"/>
      <c r="M335"/>
      <c r="N335" s="46"/>
      <c r="O335"/>
      <c r="P335"/>
      <c r="Q335"/>
      <c r="R335"/>
      <c r="S335"/>
      <c r="T335"/>
      <c r="U335"/>
      <c r="V335"/>
      <c r="W335"/>
      <c r="X335"/>
      <c r="Y335"/>
      <c r="Z335"/>
      <c r="AA335"/>
      <c r="AB335" s="64"/>
      <c r="AQ335" s="47"/>
    </row>
    <row r="336" spans="4:43" ht="14.25" customHeight="1">
      <c r="D336"/>
      <c r="E336"/>
      <c r="F336"/>
      <c r="G336"/>
      <c r="H336"/>
      <c r="I336"/>
      <c r="J336"/>
      <c r="K336"/>
      <c r="L336"/>
      <c r="M336"/>
      <c r="N336" s="46"/>
      <c r="O336"/>
      <c r="P336"/>
      <c r="Q336"/>
      <c r="R336"/>
      <c r="S336"/>
      <c r="T336"/>
      <c r="U336"/>
      <c r="V336"/>
      <c r="W336"/>
      <c r="X336"/>
      <c r="Y336"/>
      <c r="Z336"/>
      <c r="AA336"/>
      <c r="AB336" s="64"/>
      <c r="AQ336" s="47"/>
    </row>
    <row r="337" spans="4:43" ht="14.25" customHeight="1">
      <c r="D337"/>
      <c r="E337"/>
      <c r="F337"/>
      <c r="G337"/>
      <c r="H337"/>
      <c r="I337"/>
      <c r="J337"/>
      <c r="K337"/>
      <c r="L337"/>
      <c r="M337"/>
      <c r="N337" s="46"/>
      <c r="O337"/>
      <c r="P337"/>
      <c r="Q337"/>
      <c r="R337"/>
      <c r="S337"/>
      <c r="T337"/>
      <c r="U337"/>
      <c r="V337"/>
      <c r="W337"/>
      <c r="X337"/>
      <c r="Y337"/>
      <c r="Z337"/>
      <c r="AA337"/>
      <c r="AB337" s="64"/>
      <c r="AQ337" s="47"/>
    </row>
    <row r="338" spans="4:43" ht="14.25" customHeight="1">
      <c r="D338"/>
      <c r="E338"/>
      <c r="F338"/>
      <c r="G338"/>
      <c r="H338"/>
      <c r="I338"/>
      <c r="J338"/>
      <c r="K338"/>
      <c r="L338"/>
      <c r="M338"/>
      <c r="N338" s="46"/>
      <c r="O338"/>
      <c r="P338"/>
      <c r="Q338"/>
      <c r="R338"/>
      <c r="S338"/>
      <c r="T338"/>
      <c r="U338"/>
      <c r="V338"/>
      <c r="W338"/>
      <c r="X338"/>
      <c r="Y338"/>
      <c r="Z338"/>
      <c r="AA338"/>
      <c r="AB338" s="64"/>
      <c r="AQ338" s="47"/>
    </row>
    <row r="339" spans="4:43" ht="14.25" customHeight="1">
      <c r="D339"/>
      <c r="E339"/>
      <c r="F339"/>
      <c r="G339"/>
      <c r="H339"/>
      <c r="I339"/>
      <c r="J339"/>
      <c r="K339"/>
      <c r="L339"/>
      <c r="M339"/>
      <c r="N339" s="46"/>
      <c r="O339"/>
      <c r="P339"/>
      <c r="Q339"/>
      <c r="R339"/>
      <c r="S339"/>
      <c r="T339"/>
      <c r="U339"/>
      <c r="V339"/>
      <c r="W339"/>
      <c r="X339"/>
      <c r="Y339"/>
      <c r="Z339"/>
      <c r="AA339"/>
      <c r="AB339" s="64"/>
      <c r="AQ339" s="47"/>
    </row>
    <row r="340" spans="4:43" ht="14.25" customHeight="1">
      <c r="D340"/>
      <c r="E340"/>
      <c r="F340"/>
      <c r="G340"/>
      <c r="H340"/>
      <c r="I340"/>
      <c r="J340"/>
      <c r="K340"/>
      <c r="L340"/>
      <c r="M340"/>
      <c r="N340" s="46"/>
      <c r="O340"/>
      <c r="P340"/>
      <c r="Q340"/>
      <c r="R340"/>
      <c r="S340"/>
      <c r="T340"/>
      <c r="U340"/>
      <c r="V340"/>
      <c r="W340"/>
      <c r="X340"/>
      <c r="Y340"/>
      <c r="Z340"/>
      <c r="AA340"/>
      <c r="AB340" s="64"/>
      <c r="AQ340" s="47"/>
    </row>
    <row r="341" spans="4:43" ht="14.25" customHeight="1">
      <c r="D341"/>
      <c r="E341"/>
      <c r="F341"/>
      <c r="G341"/>
      <c r="H341"/>
      <c r="I341"/>
      <c r="J341"/>
      <c r="K341"/>
      <c r="L341"/>
      <c r="M341"/>
      <c r="N341" s="46"/>
      <c r="O341"/>
      <c r="P341"/>
      <c r="Q341"/>
      <c r="R341"/>
      <c r="S341"/>
      <c r="T341"/>
      <c r="U341"/>
      <c r="V341"/>
      <c r="W341"/>
      <c r="X341"/>
      <c r="Y341"/>
      <c r="Z341"/>
      <c r="AA341"/>
      <c r="AB341" s="64"/>
      <c r="AQ341" s="47"/>
    </row>
    <row r="342" spans="4:43" ht="14.25" customHeight="1">
      <c r="D342"/>
      <c r="E342"/>
      <c r="F342"/>
      <c r="G342"/>
      <c r="H342"/>
      <c r="I342"/>
      <c r="J342"/>
      <c r="K342"/>
      <c r="L342"/>
      <c r="M342"/>
      <c r="N342" s="46"/>
      <c r="O342"/>
      <c r="P342"/>
      <c r="Q342"/>
      <c r="R342"/>
      <c r="S342"/>
      <c r="T342"/>
      <c r="U342"/>
      <c r="V342"/>
      <c r="W342"/>
      <c r="X342"/>
      <c r="Y342"/>
      <c r="Z342"/>
      <c r="AA342"/>
      <c r="AB342" s="64"/>
      <c r="AQ342" s="47"/>
    </row>
    <row r="343" spans="4:43" ht="14.25" customHeight="1">
      <c r="D343"/>
      <c r="E343"/>
      <c r="F343"/>
      <c r="G343"/>
      <c r="H343"/>
      <c r="I343"/>
      <c r="J343"/>
      <c r="K343"/>
      <c r="L343"/>
      <c r="M343"/>
      <c r="N343" s="46"/>
      <c r="O343"/>
      <c r="P343"/>
      <c r="Q343"/>
      <c r="R343"/>
      <c r="S343"/>
      <c r="T343"/>
      <c r="U343"/>
      <c r="V343"/>
      <c r="W343"/>
      <c r="X343"/>
      <c r="Y343"/>
      <c r="Z343"/>
      <c r="AA343"/>
      <c r="AB343" s="64"/>
      <c r="AQ343" s="47"/>
    </row>
    <row r="344" spans="4:43" ht="14.25" customHeight="1">
      <c r="D344"/>
      <c r="E344"/>
      <c r="F344"/>
      <c r="G344"/>
      <c r="H344"/>
      <c r="I344"/>
      <c r="J344"/>
      <c r="K344"/>
      <c r="L344"/>
      <c r="M344"/>
      <c r="N344" s="46"/>
      <c r="O344"/>
      <c r="P344"/>
      <c r="Q344"/>
      <c r="R344"/>
      <c r="S344"/>
      <c r="T344"/>
      <c r="U344"/>
      <c r="V344"/>
      <c r="W344"/>
      <c r="X344"/>
      <c r="Y344"/>
      <c r="Z344"/>
      <c r="AA344"/>
      <c r="AB344" s="64"/>
      <c r="AQ344" s="47"/>
    </row>
    <row r="345" spans="4:43" ht="14.25" customHeight="1">
      <c r="D345"/>
      <c r="E345"/>
      <c r="F345"/>
      <c r="G345"/>
      <c r="H345"/>
      <c r="I345"/>
      <c r="J345"/>
      <c r="K345"/>
      <c r="L345"/>
      <c r="M345"/>
      <c r="N345" s="46"/>
      <c r="O345"/>
      <c r="P345"/>
      <c r="Q345"/>
      <c r="R345"/>
      <c r="S345"/>
      <c r="T345"/>
      <c r="U345"/>
      <c r="V345"/>
      <c r="W345"/>
      <c r="X345"/>
      <c r="Y345"/>
      <c r="Z345"/>
      <c r="AA345"/>
      <c r="AB345" s="64"/>
      <c r="AQ345" s="47"/>
    </row>
    <row r="346" spans="4:43" ht="14.25" customHeight="1">
      <c r="D346"/>
      <c r="E346"/>
      <c r="F346"/>
      <c r="G346"/>
      <c r="H346"/>
      <c r="I346"/>
      <c r="J346"/>
      <c r="K346"/>
      <c r="L346"/>
      <c r="M346"/>
      <c r="N346" s="46"/>
      <c r="O346"/>
      <c r="P346"/>
      <c r="Q346"/>
      <c r="R346"/>
      <c r="S346"/>
      <c r="T346"/>
      <c r="U346"/>
      <c r="V346"/>
      <c r="W346"/>
      <c r="X346"/>
      <c r="Y346"/>
      <c r="Z346"/>
      <c r="AA346"/>
      <c r="AB346" s="64"/>
      <c r="AQ346" s="47"/>
    </row>
    <row r="347" spans="4:43" ht="14.25" customHeight="1">
      <c r="D347"/>
      <c r="E347"/>
      <c r="F347"/>
      <c r="G347"/>
      <c r="H347"/>
      <c r="I347"/>
      <c r="J347"/>
      <c r="K347"/>
      <c r="L347"/>
      <c r="M347"/>
      <c r="N347" s="46"/>
      <c r="O347"/>
      <c r="P347"/>
      <c r="Q347"/>
      <c r="R347"/>
      <c r="S347"/>
      <c r="T347"/>
      <c r="U347"/>
      <c r="V347"/>
      <c r="W347"/>
      <c r="X347"/>
      <c r="Y347"/>
      <c r="Z347"/>
      <c r="AA347"/>
      <c r="AB347" s="64"/>
      <c r="AQ347" s="47"/>
    </row>
    <row r="348" spans="4:43" ht="14.25" customHeight="1">
      <c r="D348"/>
      <c r="E348"/>
      <c r="F348"/>
      <c r="G348"/>
      <c r="H348"/>
      <c r="I348"/>
      <c r="J348"/>
      <c r="K348"/>
      <c r="L348"/>
      <c r="M348"/>
      <c r="N348" s="46"/>
      <c r="O348"/>
      <c r="P348"/>
      <c r="Q348"/>
      <c r="R348"/>
      <c r="S348"/>
      <c r="T348"/>
      <c r="U348"/>
      <c r="V348"/>
      <c r="W348"/>
      <c r="X348"/>
      <c r="Y348"/>
      <c r="Z348"/>
      <c r="AA348"/>
      <c r="AB348" s="64"/>
      <c r="AQ348" s="47"/>
    </row>
    <row r="349" spans="4:43" ht="14.25" customHeight="1">
      <c r="D349"/>
      <c r="E349"/>
      <c r="F349"/>
      <c r="G349"/>
      <c r="H349"/>
      <c r="I349"/>
      <c r="J349"/>
      <c r="K349"/>
      <c r="L349"/>
      <c r="M349"/>
      <c r="N349" s="46"/>
      <c r="O349"/>
      <c r="P349"/>
      <c r="Q349"/>
      <c r="R349"/>
      <c r="S349"/>
      <c r="T349"/>
      <c r="U349"/>
      <c r="V349"/>
      <c r="W349"/>
      <c r="X349"/>
      <c r="Y349"/>
      <c r="Z349"/>
      <c r="AA349"/>
      <c r="AB349" s="64"/>
      <c r="AQ349" s="47"/>
    </row>
    <row r="350" spans="4:43" ht="14.25" customHeight="1">
      <c r="D350"/>
      <c r="E350"/>
      <c r="F350"/>
      <c r="G350"/>
      <c r="H350"/>
      <c r="I350"/>
      <c r="J350"/>
      <c r="K350"/>
      <c r="L350"/>
      <c r="M350"/>
      <c r="N350" s="46"/>
      <c r="O350"/>
      <c r="P350"/>
      <c r="Q350"/>
      <c r="R350"/>
      <c r="S350"/>
      <c r="T350"/>
      <c r="U350"/>
      <c r="V350"/>
      <c r="W350"/>
      <c r="X350"/>
      <c r="Y350"/>
      <c r="Z350"/>
      <c r="AA350"/>
      <c r="AB350" s="64"/>
      <c r="AQ350" s="47"/>
    </row>
    <row r="351" spans="4:43" ht="14.25" customHeight="1">
      <c r="D351"/>
      <c r="E351"/>
      <c r="F351"/>
      <c r="G351"/>
      <c r="H351"/>
      <c r="I351"/>
      <c r="J351"/>
      <c r="K351"/>
      <c r="L351"/>
      <c r="M351"/>
      <c r="N351" s="46"/>
      <c r="O351"/>
      <c r="P351"/>
      <c r="Q351"/>
      <c r="R351"/>
      <c r="S351"/>
      <c r="T351"/>
      <c r="U351"/>
      <c r="V351"/>
      <c r="W351"/>
      <c r="X351"/>
      <c r="Y351"/>
      <c r="Z351"/>
      <c r="AA351"/>
      <c r="AB351" s="64"/>
      <c r="AQ351" s="47"/>
    </row>
    <row r="352" spans="4:43" ht="14.25" customHeight="1">
      <c r="D352"/>
      <c r="E352"/>
      <c r="F352"/>
      <c r="G352"/>
      <c r="H352"/>
      <c r="I352"/>
      <c r="J352"/>
      <c r="K352"/>
      <c r="L352"/>
      <c r="M352"/>
      <c r="N352" s="46"/>
      <c r="O352"/>
      <c r="P352"/>
      <c r="Q352"/>
      <c r="R352"/>
      <c r="S352"/>
      <c r="T352"/>
      <c r="U352"/>
      <c r="V352"/>
      <c r="W352"/>
      <c r="X352"/>
      <c r="Y352"/>
      <c r="Z352"/>
      <c r="AA352"/>
      <c r="AB352" s="64"/>
      <c r="AQ352" s="47"/>
    </row>
    <row r="353" spans="4:43" ht="14.25" customHeight="1">
      <c r="D353"/>
      <c r="E353"/>
      <c r="F353"/>
      <c r="G353"/>
      <c r="H353"/>
      <c r="I353"/>
      <c r="J353"/>
      <c r="K353"/>
      <c r="L353"/>
      <c r="M353"/>
      <c r="N353" s="46"/>
      <c r="O353"/>
      <c r="P353"/>
      <c r="Q353"/>
      <c r="R353"/>
      <c r="S353"/>
      <c r="T353"/>
      <c r="U353"/>
      <c r="V353"/>
      <c r="W353"/>
      <c r="X353"/>
      <c r="Y353"/>
      <c r="Z353"/>
      <c r="AA353"/>
      <c r="AB353" s="64"/>
      <c r="AQ353" s="47"/>
    </row>
    <row r="354" spans="4:43" ht="14.25" customHeight="1">
      <c r="D354"/>
      <c r="E354"/>
      <c r="F354"/>
      <c r="G354"/>
      <c r="H354"/>
      <c r="I354"/>
      <c r="J354"/>
      <c r="K354"/>
      <c r="L354"/>
      <c r="M354"/>
      <c r="N354" s="46"/>
      <c r="O354"/>
      <c r="P354"/>
      <c r="Q354"/>
      <c r="R354"/>
      <c r="S354"/>
      <c r="T354"/>
      <c r="U354"/>
      <c r="V354"/>
      <c r="W354"/>
      <c r="X354"/>
      <c r="Y354"/>
      <c r="Z354"/>
      <c r="AA354"/>
      <c r="AB354" s="64"/>
      <c r="AQ354" s="47"/>
    </row>
    <row r="355" spans="4:43" ht="14.25" customHeight="1">
      <c r="D355"/>
      <c r="E355"/>
      <c r="F355"/>
      <c r="G355"/>
      <c r="H355"/>
      <c r="I355"/>
      <c r="J355"/>
      <c r="K355"/>
      <c r="L355"/>
      <c r="M355"/>
      <c r="N355" s="46"/>
      <c r="O355"/>
      <c r="P355"/>
      <c r="Q355"/>
      <c r="R355"/>
      <c r="S355"/>
      <c r="T355"/>
      <c r="U355"/>
      <c r="V355"/>
      <c r="W355"/>
      <c r="X355"/>
      <c r="Y355"/>
      <c r="Z355"/>
      <c r="AA355"/>
      <c r="AB355" s="64"/>
      <c r="AQ355" s="47"/>
    </row>
    <row r="356" spans="4:43" ht="14.25" customHeight="1">
      <c r="D356"/>
      <c r="E356"/>
      <c r="F356"/>
      <c r="G356"/>
      <c r="H356"/>
      <c r="I356"/>
      <c r="J356"/>
      <c r="K356"/>
      <c r="L356"/>
      <c r="M356"/>
      <c r="N356" s="46"/>
      <c r="O356"/>
      <c r="P356"/>
      <c r="Q356"/>
      <c r="R356"/>
      <c r="S356"/>
      <c r="T356"/>
      <c r="U356"/>
      <c r="V356"/>
      <c r="W356"/>
      <c r="X356"/>
      <c r="Y356"/>
      <c r="Z356"/>
      <c r="AA356"/>
      <c r="AB356" s="64"/>
      <c r="AQ356" s="47"/>
    </row>
    <row r="357" spans="4:43" ht="14.25" customHeight="1">
      <c r="D357"/>
      <c r="E357"/>
      <c r="F357"/>
      <c r="G357"/>
      <c r="H357"/>
      <c r="I357"/>
      <c r="J357"/>
      <c r="K357"/>
      <c r="L357"/>
      <c r="M357"/>
      <c r="N357" s="46"/>
      <c r="O357"/>
      <c r="P357"/>
      <c r="Q357"/>
      <c r="R357"/>
      <c r="S357"/>
      <c r="T357"/>
      <c r="U357"/>
      <c r="V357"/>
      <c r="W357"/>
      <c r="X357"/>
      <c r="Y357"/>
      <c r="Z357"/>
      <c r="AA357"/>
      <c r="AB357" s="64"/>
      <c r="AQ357" s="47"/>
    </row>
    <row r="358" spans="4:43" ht="14.25" customHeight="1">
      <c r="D358"/>
      <c r="E358"/>
      <c r="F358"/>
      <c r="G358"/>
      <c r="H358"/>
      <c r="I358"/>
      <c r="J358"/>
      <c r="K358"/>
      <c r="L358"/>
      <c r="M358"/>
      <c r="N358" s="46"/>
      <c r="O358"/>
      <c r="P358"/>
      <c r="Q358"/>
      <c r="R358"/>
      <c r="S358"/>
      <c r="T358"/>
      <c r="U358"/>
      <c r="V358"/>
      <c r="W358"/>
      <c r="X358"/>
      <c r="Y358"/>
      <c r="Z358"/>
      <c r="AA358"/>
      <c r="AB358" s="64"/>
      <c r="AQ358" s="47"/>
    </row>
    <row r="359" spans="4:43" ht="14.25" customHeight="1">
      <c r="D359"/>
      <c r="E359"/>
      <c r="F359"/>
      <c r="G359"/>
      <c r="H359"/>
      <c r="I359"/>
      <c r="J359"/>
      <c r="K359"/>
      <c r="L359"/>
      <c r="M359"/>
      <c r="N359" s="46"/>
      <c r="O359"/>
      <c r="P359"/>
      <c r="Q359"/>
      <c r="R359"/>
      <c r="S359"/>
      <c r="T359"/>
      <c r="U359"/>
      <c r="V359"/>
      <c r="W359"/>
      <c r="X359"/>
      <c r="Y359"/>
      <c r="Z359"/>
      <c r="AA359"/>
      <c r="AB359" s="64"/>
      <c r="AQ359" s="47"/>
    </row>
    <row r="360" spans="4:43" ht="14.25" customHeight="1">
      <c r="D360"/>
      <c r="E360"/>
      <c r="F360"/>
      <c r="G360"/>
      <c r="H360"/>
      <c r="I360"/>
      <c r="J360"/>
      <c r="K360"/>
      <c r="L360"/>
      <c r="M360"/>
      <c r="N360" s="46"/>
      <c r="O360"/>
      <c r="P360"/>
      <c r="Q360"/>
      <c r="R360"/>
      <c r="S360"/>
      <c r="T360"/>
      <c r="U360"/>
      <c r="V360"/>
      <c r="W360"/>
      <c r="X360"/>
      <c r="Y360"/>
      <c r="Z360"/>
      <c r="AA360"/>
      <c r="AB360" s="64"/>
      <c r="AQ360" s="47"/>
    </row>
    <row r="361" spans="4:43" ht="14.25" customHeight="1">
      <c r="D361"/>
      <c r="E361"/>
      <c r="F361"/>
      <c r="G361"/>
      <c r="H361"/>
      <c r="I361"/>
      <c r="J361"/>
      <c r="K361"/>
      <c r="L361"/>
      <c r="M361"/>
      <c r="N361" s="46"/>
      <c r="O361"/>
      <c r="P361"/>
      <c r="Q361"/>
      <c r="R361"/>
      <c r="S361"/>
      <c r="T361"/>
      <c r="U361"/>
      <c r="V361"/>
      <c r="W361"/>
      <c r="X361"/>
      <c r="Y361"/>
      <c r="Z361"/>
      <c r="AA361"/>
      <c r="AB361" s="64"/>
      <c r="AQ361" s="47"/>
    </row>
    <row r="362" spans="4:43" ht="14.25" customHeight="1">
      <c r="D362"/>
      <c r="E362"/>
      <c r="F362"/>
      <c r="G362"/>
      <c r="H362"/>
      <c r="I362"/>
      <c r="J362"/>
      <c r="K362"/>
      <c r="L362"/>
      <c r="M362"/>
      <c r="N362" s="46"/>
      <c r="O362"/>
      <c r="P362"/>
      <c r="Q362"/>
      <c r="R362"/>
      <c r="S362"/>
      <c r="T362"/>
      <c r="U362"/>
      <c r="V362"/>
      <c r="W362"/>
      <c r="X362"/>
      <c r="Y362"/>
      <c r="Z362"/>
      <c r="AA362"/>
      <c r="AB362" s="64"/>
      <c r="AQ362" s="47"/>
    </row>
    <row r="363" spans="4:43" ht="14.25" customHeight="1">
      <c r="D363"/>
      <c r="E363"/>
      <c r="F363"/>
      <c r="G363"/>
      <c r="H363"/>
      <c r="I363"/>
      <c r="J363"/>
      <c r="K363"/>
      <c r="L363"/>
      <c r="M363"/>
      <c r="N363" s="46"/>
      <c r="O363"/>
      <c r="P363"/>
      <c r="Q363"/>
      <c r="R363"/>
      <c r="S363"/>
      <c r="T363"/>
      <c r="U363"/>
      <c r="V363"/>
      <c r="W363"/>
      <c r="X363"/>
      <c r="Y363"/>
      <c r="Z363"/>
      <c r="AA363"/>
      <c r="AB363" s="64"/>
      <c r="AQ363" s="47"/>
    </row>
    <row r="364" spans="4:43" ht="14.25" customHeight="1">
      <c r="D364"/>
      <c r="E364"/>
      <c r="F364"/>
      <c r="G364"/>
      <c r="H364"/>
      <c r="I364"/>
      <c r="J364"/>
      <c r="K364"/>
      <c r="L364"/>
      <c r="M364"/>
      <c r="N364" s="46"/>
      <c r="O364"/>
      <c r="P364"/>
      <c r="Q364"/>
      <c r="R364"/>
      <c r="S364"/>
      <c r="T364"/>
      <c r="U364"/>
      <c r="V364"/>
      <c r="W364"/>
      <c r="X364"/>
      <c r="Y364"/>
      <c r="Z364"/>
      <c r="AA364"/>
      <c r="AB364" s="64"/>
      <c r="AQ364" s="47"/>
    </row>
    <row r="365" spans="4:43" ht="14.25" customHeight="1">
      <c r="D365"/>
      <c r="E365"/>
      <c r="F365"/>
      <c r="G365"/>
      <c r="H365"/>
      <c r="I365"/>
      <c r="J365"/>
      <c r="K365"/>
      <c r="L365"/>
      <c r="M365"/>
      <c r="N365" s="46"/>
      <c r="O365"/>
      <c r="P365"/>
      <c r="Q365"/>
      <c r="R365"/>
      <c r="S365"/>
      <c r="T365"/>
      <c r="U365"/>
      <c r="V365"/>
      <c r="W365"/>
      <c r="X365"/>
      <c r="Y365"/>
      <c r="Z365"/>
      <c r="AA365"/>
      <c r="AB365" s="64"/>
      <c r="AQ365" s="47"/>
    </row>
    <row r="366" spans="4:43" ht="14.25" customHeight="1">
      <c r="D366"/>
      <c r="E366"/>
      <c r="F366"/>
      <c r="G366"/>
      <c r="H366"/>
      <c r="I366"/>
      <c r="J366"/>
      <c r="K366"/>
      <c r="L366"/>
      <c r="M366"/>
      <c r="N366" s="46"/>
      <c r="O366"/>
      <c r="P366"/>
      <c r="Q366"/>
      <c r="R366"/>
      <c r="S366"/>
      <c r="T366"/>
      <c r="U366"/>
      <c r="V366"/>
      <c r="W366"/>
      <c r="X366"/>
      <c r="Y366"/>
      <c r="Z366"/>
      <c r="AA366"/>
      <c r="AB366" s="64"/>
      <c r="AQ366" s="47"/>
    </row>
    <row r="367" spans="4:43" ht="14.25" customHeight="1">
      <c r="D367"/>
      <c r="E367"/>
      <c r="F367"/>
      <c r="G367"/>
      <c r="H367"/>
      <c r="I367"/>
      <c r="J367"/>
      <c r="K367"/>
      <c r="L367"/>
      <c r="M367"/>
      <c r="N367" s="46"/>
      <c r="O367"/>
      <c r="P367"/>
      <c r="Q367"/>
      <c r="R367"/>
      <c r="S367"/>
      <c r="T367"/>
      <c r="U367"/>
      <c r="V367"/>
      <c r="W367"/>
      <c r="X367"/>
      <c r="Y367"/>
      <c r="Z367"/>
      <c r="AA367"/>
      <c r="AB367" s="64"/>
      <c r="AQ367" s="47"/>
    </row>
    <row r="368" spans="4:43" ht="14.25" customHeight="1">
      <c r="D368"/>
      <c r="E368"/>
      <c r="F368"/>
      <c r="G368"/>
      <c r="H368"/>
      <c r="I368"/>
      <c r="J368"/>
      <c r="K368"/>
      <c r="L368"/>
      <c r="M368"/>
      <c r="N368" s="46"/>
      <c r="O368"/>
      <c r="P368"/>
      <c r="Q368"/>
      <c r="R368"/>
      <c r="S368"/>
      <c r="T368"/>
      <c r="U368"/>
      <c r="V368"/>
      <c r="W368"/>
      <c r="X368"/>
      <c r="Y368"/>
      <c r="Z368"/>
      <c r="AA368"/>
      <c r="AB368" s="64"/>
      <c r="AQ368" s="47"/>
    </row>
    <row r="369" spans="4:43" ht="14.25" customHeight="1">
      <c r="D369"/>
      <c r="E369"/>
      <c r="F369"/>
      <c r="G369"/>
      <c r="H369"/>
      <c r="I369"/>
      <c r="J369"/>
      <c r="K369"/>
      <c r="L369"/>
      <c r="M369"/>
      <c r="N369" s="46"/>
      <c r="O369"/>
      <c r="P369"/>
      <c r="Q369"/>
      <c r="R369"/>
      <c r="S369"/>
      <c r="T369"/>
      <c r="U369"/>
      <c r="V369"/>
      <c r="W369"/>
      <c r="X369"/>
      <c r="Y369"/>
      <c r="Z369"/>
      <c r="AA369"/>
      <c r="AB369" s="64"/>
      <c r="AQ369" s="47"/>
    </row>
    <row r="370" spans="4:43" ht="14.25" customHeight="1">
      <c r="D370"/>
      <c r="E370"/>
      <c r="F370"/>
      <c r="G370"/>
      <c r="H370"/>
      <c r="I370"/>
      <c r="J370"/>
      <c r="K370"/>
      <c r="L370"/>
      <c r="M370"/>
      <c r="N370" s="46"/>
      <c r="O370"/>
      <c r="P370"/>
      <c r="Q370"/>
      <c r="R370"/>
      <c r="S370"/>
      <c r="T370"/>
      <c r="U370"/>
      <c r="V370"/>
      <c r="W370"/>
      <c r="X370"/>
      <c r="Y370"/>
      <c r="Z370"/>
      <c r="AA370"/>
      <c r="AB370" s="64"/>
      <c r="AQ370" s="47"/>
    </row>
    <row r="371" spans="4:43" ht="14.25" customHeight="1">
      <c r="D371"/>
      <c r="E371"/>
      <c r="F371"/>
      <c r="G371"/>
      <c r="H371"/>
      <c r="I371"/>
      <c r="J371"/>
      <c r="K371"/>
      <c r="L371"/>
      <c r="M371"/>
      <c r="N371" s="46"/>
      <c r="O371"/>
      <c r="P371"/>
      <c r="Q371"/>
      <c r="R371"/>
      <c r="S371"/>
      <c r="T371"/>
      <c r="U371"/>
      <c r="V371"/>
      <c r="W371"/>
      <c r="X371"/>
      <c r="Y371"/>
      <c r="Z371"/>
      <c r="AA371"/>
      <c r="AB371" s="64"/>
      <c r="AQ371" s="47"/>
    </row>
    <row r="372" spans="4:43" ht="14.25" customHeight="1">
      <c r="D372"/>
      <c r="E372"/>
      <c r="F372"/>
      <c r="G372"/>
      <c r="H372"/>
      <c r="I372"/>
      <c r="J372"/>
      <c r="K372"/>
      <c r="L372"/>
      <c r="M372"/>
      <c r="N372" s="46"/>
      <c r="O372"/>
      <c r="P372"/>
      <c r="Q372"/>
      <c r="R372"/>
      <c r="S372"/>
      <c r="T372"/>
      <c r="U372"/>
      <c r="V372"/>
      <c r="W372"/>
      <c r="X372"/>
      <c r="Y372"/>
      <c r="Z372"/>
      <c r="AA372"/>
      <c r="AB372" s="64"/>
      <c r="AQ372" s="47"/>
    </row>
    <row r="373" spans="4:43" ht="14.25" customHeight="1">
      <c r="D373"/>
      <c r="E373"/>
      <c r="F373"/>
      <c r="G373"/>
      <c r="H373"/>
      <c r="I373"/>
      <c r="J373"/>
      <c r="K373"/>
      <c r="L373"/>
      <c r="M373"/>
      <c r="N373" s="46"/>
      <c r="O373"/>
      <c r="P373"/>
      <c r="Q373"/>
      <c r="R373"/>
      <c r="S373"/>
      <c r="T373"/>
      <c r="U373"/>
      <c r="V373"/>
      <c r="W373"/>
      <c r="X373"/>
      <c r="Y373"/>
      <c r="Z373"/>
      <c r="AA373"/>
      <c r="AB373" s="64"/>
      <c r="AQ373" s="47"/>
    </row>
    <row r="374" spans="4:43" ht="14.25" customHeight="1">
      <c r="D374"/>
      <c r="E374"/>
      <c r="F374"/>
      <c r="G374"/>
      <c r="H374"/>
      <c r="I374"/>
      <c r="J374"/>
      <c r="K374"/>
      <c r="L374"/>
      <c r="M374"/>
      <c r="N374" s="46"/>
      <c r="O374"/>
      <c r="P374"/>
      <c r="Q374"/>
      <c r="R374"/>
      <c r="S374"/>
      <c r="T374"/>
      <c r="U374"/>
      <c r="V374"/>
      <c r="W374"/>
      <c r="X374"/>
      <c r="Y374"/>
      <c r="Z374"/>
      <c r="AA374"/>
      <c r="AB374" s="64"/>
      <c r="AQ374" s="47"/>
    </row>
    <row r="375" spans="4:43" ht="14.25" customHeight="1">
      <c r="D375"/>
      <c r="E375"/>
      <c r="F375"/>
      <c r="G375"/>
      <c r="H375"/>
      <c r="I375"/>
      <c r="J375"/>
      <c r="K375"/>
      <c r="L375"/>
      <c r="M375"/>
      <c r="N375" s="46"/>
      <c r="O375"/>
      <c r="P375"/>
      <c r="Q375"/>
      <c r="R375"/>
      <c r="S375"/>
      <c r="T375"/>
      <c r="U375"/>
      <c r="V375"/>
      <c r="W375"/>
      <c r="X375"/>
      <c r="Y375"/>
      <c r="Z375"/>
      <c r="AA375"/>
      <c r="AB375" s="64"/>
      <c r="AQ375" s="47"/>
    </row>
    <row r="376" spans="4:43" ht="14.25" customHeight="1">
      <c r="D376"/>
      <c r="E376"/>
      <c r="F376"/>
      <c r="G376"/>
      <c r="H376"/>
      <c r="I376"/>
      <c r="J376"/>
      <c r="K376"/>
      <c r="L376"/>
      <c r="M376"/>
      <c r="N376" s="46"/>
      <c r="O376"/>
      <c r="P376"/>
      <c r="Q376"/>
      <c r="R376"/>
      <c r="S376"/>
      <c r="T376"/>
      <c r="U376"/>
      <c r="V376"/>
      <c r="W376"/>
      <c r="X376"/>
      <c r="Y376"/>
      <c r="Z376"/>
      <c r="AA376"/>
      <c r="AB376" s="64"/>
      <c r="AQ376" s="47"/>
    </row>
    <row r="377" spans="4:43" ht="14.25" customHeight="1">
      <c r="D377"/>
      <c r="E377"/>
      <c r="F377"/>
      <c r="G377"/>
      <c r="H377"/>
      <c r="I377"/>
      <c r="J377"/>
      <c r="K377"/>
      <c r="L377"/>
      <c r="M377"/>
      <c r="N377" s="46"/>
      <c r="O377"/>
      <c r="P377"/>
      <c r="Q377"/>
      <c r="R377"/>
      <c r="S377"/>
      <c r="T377"/>
      <c r="U377"/>
      <c r="V377"/>
      <c r="W377"/>
      <c r="X377"/>
      <c r="Y377"/>
      <c r="Z377"/>
      <c r="AA377"/>
      <c r="AB377" s="64"/>
      <c r="AQ377" s="47"/>
    </row>
    <row r="378" spans="4:43" ht="14.25" customHeight="1">
      <c r="D378"/>
      <c r="E378"/>
      <c r="F378"/>
      <c r="G378"/>
      <c r="H378"/>
      <c r="I378"/>
      <c r="J378"/>
      <c r="K378"/>
      <c r="L378"/>
      <c r="M378"/>
      <c r="N378" s="46"/>
      <c r="O378"/>
      <c r="P378"/>
      <c r="Q378"/>
      <c r="R378"/>
      <c r="S378"/>
      <c r="T378"/>
      <c r="U378"/>
      <c r="V378"/>
      <c r="W378"/>
      <c r="X378"/>
      <c r="Y378"/>
      <c r="Z378"/>
      <c r="AA378"/>
      <c r="AB378" s="64"/>
      <c r="AQ378" s="47"/>
    </row>
    <row r="379" spans="4:43" ht="14.25" customHeight="1">
      <c r="D379"/>
      <c r="E379"/>
      <c r="F379"/>
      <c r="G379"/>
      <c r="H379"/>
      <c r="I379"/>
      <c r="J379"/>
      <c r="K379"/>
      <c r="L379"/>
      <c r="M379"/>
      <c r="N379" s="46"/>
      <c r="O379"/>
      <c r="P379"/>
      <c r="Q379"/>
      <c r="R379"/>
      <c r="S379"/>
      <c r="T379"/>
      <c r="U379"/>
      <c r="V379"/>
      <c r="W379"/>
      <c r="X379"/>
      <c r="Y379"/>
      <c r="Z379"/>
      <c r="AA379"/>
      <c r="AB379" s="64"/>
      <c r="AQ379" s="47"/>
    </row>
    <row r="380" spans="4:43" ht="14.25" customHeight="1">
      <c r="D380"/>
      <c r="E380"/>
      <c r="F380"/>
      <c r="G380"/>
      <c r="H380"/>
      <c r="I380"/>
      <c r="J380"/>
      <c r="K380"/>
      <c r="L380"/>
      <c r="M380"/>
      <c r="N380" s="46"/>
      <c r="O380"/>
      <c r="P380"/>
      <c r="Q380"/>
      <c r="R380"/>
      <c r="S380"/>
      <c r="T380"/>
      <c r="U380"/>
      <c r="V380"/>
      <c r="W380"/>
      <c r="X380"/>
      <c r="Y380"/>
      <c r="Z380"/>
      <c r="AA380"/>
      <c r="AB380" s="64"/>
      <c r="AQ380" s="47"/>
    </row>
    <row r="381" spans="4:43" ht="14.25" customHeight="1">
      <c r="D381"/>
      <c r="E381"/>
      <c r="F381"/>
      <c r="G381"/>
      <c r="H381"/>
      <c r="I381"/>
      <c r="J381"/>
      <c r="K381"/>
      <c r="L381"/>
      <c r="M381"/>
      <c r="N381" s="46"/>
      <c r="O381"/>
      <c r="P381"/>
      <c r="Q381"/>
      <c r="R381"/>
      <c r="S381"/>
      <c r="T381"/>
      <c r="U381"/>
      <c r="V381"/>
      <c r="W381"/>
      <c r="X381"/>
      <c r="Y381"/>
      <c r="Z381"/>
      <c r="AA381"/>
      <c r="AB381" s="64"/>
      <c r="AQ381" s="47"/>
    </row>
    <row r="382" spans="4:43" ht="14.25" customHeight="1">
      <c r="D382"/>
      <c r="E382"/>
      <c r="F382"/>
      <c r="G382"/>
      <c r="H382"/>
      <c r="I382"/>
      <c r="J382"/>
      <c r="K382"/>
      <c r="L382"/>
      <c r="M382"/>
      <c r="N382" s="46"/>
      <c r="O382"/>
      <c r="P382"/>
      <c r="Q382"/>
      <c r="R382"/>
      <c r="S382"/>
      <c r="T382"/>
      <c r="U382"/>
      <c r="V382"/>
      <c r="W382"/>
      <c r="X382"/>
      <c r="Y382"/>
      <c r="Z382"/>
      <c r="AA382"/>
      <c r="AB382" s="64"/>
      <c r="AQ382" s="47"/>
    </row>
    <row r="383" spans="4:43" ht="14.25" customHeight="1">
      <c r="D383"/>
      <c r="E383"/>
      <c r="F383"/>
      <c r="G383"/>
      <c r="H383"/>
      <c r="I383"/>
      <c r="J383"/>
      <c r="K383"/>
      <c r="L383"/>
      <c r="M383"/>
      <c r="N383" s="46"/>
      <c r="O383"/>
      <c r="P383"/>
      <c r="Q383"/>
      <c r="R383"/>
      <c r="S383"/>
      <c r="T383"/>
      <c r="U383"/>
      <c r="V383"/>
      <c r="W383"/>
      <c r="X383"/>
      <c r="Y383"/>
      <c r="Z383"/>
      <c r="AA383"/>
      <c r="AB383" s="64"/>
      <c r="AQ383" s="47"/>
    </row>
    <row r="384" spans="4:43" ht="14.25" customHeight="1">
      <c r="D384"/>
      <c r="E384"/>
      <c r="F384"/>
      <c r="G384"/>
      <c r="H384"/>
      <c r="I384"/>
      <c r="J384"/>
      <c r="K384"/>
      <c r="L384"/>
      <c r="M384"/>
      <c r="N384" s="46"/>
      <c r="O384"/>
      <c r="P384"/>
      <c r="Q384"/>
      <c r="R384"/>
      <c r="S384"/>
      <c r="T384"/>
      <c r="U384"/>
      <c r="V384"/>
      <c r="W384"/>
      <c r="X384"/>
      <c r="Y384"/>
      <c r="Z384"/>
      <c r="AA384"/>
      <c r="AB384" s="64"/>
      <c r="AQ384" s="47"/>
    </row>
    <row r="385" spans="4:43" ht="14.25" customHeight="1">
      <c r="D385"/>
      <c r="E385"/>
      <c r="F385"/>
      <c r="G385"/>
      <c r="H385"/>
      <c r="I385"/>
      <c r="J385"/>
      <c r="K385"/>
      <c r="L385"/>
      <c r="M385"/>
      <c r="N385" s="46"/>
      <c r="O385"/>
      <c r="P385"/>
      <c r="Q385"/>
      <c r="R385"/>
      <c r="S385"/>
      <c r="T385"/>
      <c r="U385"/>
      <c r="V385"/>
      <c r="W385"/>
      <c r="X385"/>
      <c r="Y385"/>
      <c r="Z385"/>
      <c r="AA385"/>
      <c r="AB385" s="64"/>
      <c r="AQ385" s="47"/>
    </row>
    <row r="386" spans="4:43" ht="14.25" customHeight="1">
      <c r="D386"/>
      <c r="E386"/>
      <c r="F386"/>
      <c r="G386"/>
      <c r="H386"/>
      <c r="I386"/>
      <c r="J386"/>
      <c r="K386"/>
      <c r="L386"/>
      <c r="M386"/>
      <c r="N386" s="46"/>
      <c r="O386"/>
      <c r="P386"/>
      <c r="Q386"/>
      <c r="R386"/>
      <c r="S386"/>
      <c r="T386"/>
      <c r="U386"/>
      <c r="V386"/>
      <c r="W386"/>
      <c r="X386"/>
      <c r="Y386"/>
      <c r="Z386"/>
      <c r="AA386"/>
      <c r="AB386" s="64"/>
      <c r="AQ386" s="47"/>
    </row>
    <row r="387" spans="4:43" ht="14.25" customHeight="1">
      <c r="D387"/>
      <c r="E387"/>
      <c r="F387"/>
      <c r="G387"/>
      <c r="H387"/>
      <c r="I387"/>
      <c r="J387"/>
      <c r="K387"/>
      <c r="L387"/>
      <c r="M387"/>
      <c r="N387" s="46"/>
      <c r="O387"/>
      <c r="P387"/>
      <c r="Q387"/>
      <c r="R387"/>
      <c r="S387"/>
      <c r="T387"/>
      <c r="U387"/>
      <c r="V387"/>
      <c r="W387"/>
      <c r="X387"/>
      <c r="Y387"/>
      <c r="Z387"/>
      <c r="AA387"/>
      <c r="AB387" s="64"/>
      <c r="AQ387" s="47"/>
    </row>
    <row r="388" spans="4:43" ht="14.25" customHeight="1">
      <c r="D388"/>
      <c r="E388"/>
      <c r="F388"/>
      <c r="G388"/>
      <c r="H388"/>
      <c r="I388"/>
      <c r="J388"/>
      <c r="K388"/>
      <c r="L388"/>
      <c r="M388"/>
      <c r="N388" s="46"/>
      <c r="O388"/>
      <c r="P388"/>
      <c r="Q388"/>
      <c r="R388"/>
      <c r="S388"/>
      <c r="T388"/>
      <c r="U388"/>
      <c r="V388"/>
      <c r="W388"/>
      <c r="X388"/>
      <c r="Y388"/>
      <c r="Z388"/>
      <c r="AA388"/>
      <c r="AB388" s="64"/>
      <c r="AQ388" s="47"/>
    </row>
    <row r="389" spans="4:43" ht="14.25" customHeight="1">
      <c r="D389"/>
      <c r="E389"/>
      <c r="F389"/>
      <c r="G389"/>
      <c r="H389"/>
      <c r="I389"/>
      <c r="J389"/>
      <c r="K389"/>
      <c r="L389"/>
      <c r="M389"/>
      <c r="N389" s="46"/>
      <c r="O389"/>
      <c r="P389"/>
      <c r="Q389"/>
      <c r="R389"/>
      <c r="S389"/>
      <c r="T389"/>
      <c r="U389"/>
      <c r="V389"/>
      <c r="W389"/>
      <c r="X389"/>
      <c r="Y389"/>
      <c r="Z389"/>
      <c r="AA389"/>
      <c r="AB389" s="64"/>
      <c r="AQ389" s="47"/>
    </row>
    <row r="390" spans="4:43" ht="14.25" customHeight="1">
      <c r="D390"/>
      <c r="E390"/>
      <c r="F390"/>
      <c r="G390"/>
      <c r="H390"/>
      <c r="I390"/>
      <c r="J390"/>
      <c r="K390"/>
      <c r="L390"/>
      <c r="M390"/>
      <c r="N390" s="46"/>
      <c r="O390"/>
      <c r="P390"/>
      <c r="Q390"/>
      <c r="R390"/>
      <c r="S390"/>
      <c r="T390"/>
      <c r="U390"/>
      <c r="V390"/>
      <c r="W390"/>
      <c r="X390"/>
      <c r="Y390"/>
      <c r="Z390"/>
      <c r="AA390"/>
      <c r="AB390" s="64"/>
      <c r="AQ390" s="47"/>
    </row>
    <row r="391" spans="4:43" ht="14.25" customHeight="1">
      <c r="D391"/>
      <c r="E391"/>
      <c r="F391"/>
      <c r="G391"/>
      <c r="H391"/>
      <c r="I391"/>
      <c r="J391"/>
      <c r="K391"/>
      <c r="L391"/>
      <c r="M391"/>
      <c r="N391" s="46"/>
      <c r="O391"/>
      <c r="P391"/>
      <c r="Q391"/>
      <c r="R391"/>
      <c r="S391"/>
      <c r="T391"/>
      <c r="U391"/>
      <c r="V391"/>
      <c r="W391"/>
      <c r="X391"/>
      <c r="Y391"/>
      <c r="Z391"/>
      <c r="AA391"/>
      <c r="AB391" s="64"/>
      <c r="AQ391" s="47"/>
    </row>
    <row r="392" spans="4:43" ht="14.25" customHeight="1">
      <c r="D392"/>
      <c r="E392"/>
      <c r="F392"/>
      <c r="G392"/>
      <c r="H392"/>
      <c r="I392"/>
      <c r="J392"/>
      <c r="K392"/>
      <c r="L392"/>
      <c r="M392"/>
      <c r="N392" s="46"/>
      <c r="O392"/>
      <c r="P392"/>
      <c r="Q392"/>
      <c r="R392"/>
      <c r="S392"/>
      <c r="T392"/>
      <c r="U392"/>
      <c r="V392"/>
      <c r="W392"/>
      <c r="X392"/>
      <c r="Y392"/>
      <c r="Z392"/>
      <c r="AA392"/>
      <c r="AB392" s="64"/>
      <c r="AQ392" s="47"/>
    </row>
    <row r="393" spans="4:43" ht="14.25" customHeight="1">
      <c r="D393"/>
      <c r="E393"/>
      <c r="F393"/>
      <c r="G393"/>
      <c r="H393"/>
      <c r="I393"/>
      <c r="J393"/>
      <c r="K393"/>
      <c r="L393"/>
      <c r="M393"/>
      <c r="N393" s="46"/>
      <c r="O393"/>
      <c r="P393"/>
      <c r="Q393"/>
      <c r="R393"/>
      <c r="S393"/>
      <c r="T393"/>
      <c r="U393"/>
      <c r="V393"/>
      <c r="W393"/>
      <c r="X393"/>
      <c r="Y393"/>
      <c r="Z393"/>
      <c r="AA393"/>
      <c r="AB393" s="64"/>
      <c r="AQ393" s="47"/>
    </row>
    <row r="394" spans="4:43" ht="14.25" customHeight="1">
      <c r="D394"/>
      <c r="E394"/>
      <c r="F394"/>
      <c r="G394"/>
      <c r="H394"/>
      <c r="I394"/>
      <c r="J394"/>
      <c r="K394"/>
      <c r="L394"/>
      <c r="M394"/>
      <c r="N394" s="46"/>
      <c r="O394"/>
      <c r="P394"/>
      <c r="Q394"/>
      <c r="R394"/>
      <c r="S394"/>
      <c r="T394"/>
      <c r="U394"/>
      <c r="V394"/>
      <c r="W394"/>
      <c r="X394"/>
      <c r="Y394"/>
      <c r="Z394"/>
      <c r="AA394"/>
      <c r="AB394" s="64"/>
      <c r="AQ394" s="47"/>
    </row>
    <row r="395" spans="4:43" ht="14.25" customHeight="1">
      <c r="D395"/>
      <c r="E395"/>
      <c r="F395"/>
      <c r="G395"/>
      <c r="H395"/>
      <c r="I395"/>
      <c r="J395"/>
      <c r="K395"/>
      <c r="L395"/>
      <c r="M395"/>
      <c r="N395" s="46"/>
      <c r="O395"/>
      <c r="P395"/>
      <c r="Q395"/>
      <c r="R395"/>
      <c r="S395"/>
      <c r="T395"/>
      <c r="U395"/>
      <c r="V395"/>
      <c r="W395"/>
      <c r="X395"/>
      <c r="Y395"/>
      <c r="Z395"/>
      <c r="AA395"/>
      <c r="AB395" s="64"/>
      <c r="AQ395" s="47"/>
    </row>
    <row r="396" spans="4:43" ht="14.25" customHeight="1">
      <c r="D396"/>
      <c r="E396"/>
      <c r="F396"/>
      <c r="G396"/>
      <c r="H396"/>
      <c r="I396"/>
      <c r="J396"/>
      <c r="K396"/>
      <c r="L396"/>
      <c r="M396"/>
      <c r="N396" s="46"/>
      <c r="O396"/>
      <c r="P396"/>
      <c r="Q396"/>
      <c r="R396"/>
      <c r="S396"/>
      <c r="T396"/>
      <c r="U396"/>
      <c r="V396"/>
      <c r="W396"/>
      <c r="X396"/>
      <c r="Y396"/>
      <c r="Z396"/>
      <c r="AA396"/>
      <c r="AB396" s="64"/>
      <c r="AQ396" s="47"/>
    </row>
    <row r="397" spans="4:43" ht="14.25" customHeight="1">
      <c r="D397"/>
      <c r="E397"/>
      <c r="F397"/>
      <c r="G397"/>
      <c r="H397"/>
      <c r="I397"/>
      <c r="J397"/>
      <c r="K397"/>
      <c r="L397"/>
      <c r="M397"/>
      <c r="N397" s="46"/>
      <c r="O397"/>
      <c r="P397"/>
      <c r="Q397"/>
      <c r="R397"/>
      <c r="S397"/>
      <c r="T397"/>
      <c r="U397"/>
      <c r="V397"/>
      <c r="W397"/>
      <c r="X397"/>
      <c r="Y397"/>
      <c r="Z397"/>
      <c r="AA397"/>
      <c r="AB397" s="64"/>
      <c r="AQ397" s="47"/>
    </row>
    <row r="398" spans="4:43" ht="14.25" customHeight="1">
      <c r="D398"/>
      <c r="E398"/>
      <c r="F398"/>
      <c r="G398"/>
      <c r="H398"/>
      <c r="I398"/>
      <c r="J398"/>
      <c r="K398"/>
      <c r="L398"/>
      <c r="M398"/>
      <c r="N398" s="46"/>
      <c r="O398"/>
      <c r="P398"/>
      <c r="Q398"/>
      <c r="R398"/>
      <c r="S398"/>
      <c r="T398"/>
      <c r="U398"/>
      <c r="V398"/>
      <c r="W398"/>
      <c r="X398"/>
      <c r="Y398"/>
      <c r="Z398"/>
      <c r="AA398"/>
      <c r="AB398" s="64"/>
      <c r="AQ398" s="47"/>
    </row>
    <row r="399" spans="4:43" ht="14.25" customHeight="1">
      <c r="D399"/>
      <c r="E399"/>
      <c r="F399"/>
      <c r="G399"/>
      <c r="H399"/>
      <c r="I399"/>
      <c r="J399"/>
      <c r="K399"/>
      <c r="L399"/>
      <c r="M399"/>
      <c r="N399" s="46"/>
      <c r="O399"/>
      <c r="P399"/>
      <c r="Q399"/>
      <c r="R399"/>
      <c r="S399"/>
      <c r="T399"/>
      <c r="U399"/>
      <c r="V399"/>
      <c r="W399"/>
      <c r="X399"/>
      <c r="Y399"/>
      <c r="Z399"/>
      <c r="AA399"/>
      <c r="AB399" s="64"/>
      <c r="AQ399" s="47"/>
    </row>
    <row r="400" spans="4:43" ht="14.25" customHeight="1">
      <c r="D400"/>
      <c r="E400"/>
      <c r="F400"/>
      <c r="G400"/>
      <c r="H400"/>
      <c r="I400"/>
      <c r="J400"/>
      <c r="K400"/>
      <c r="L400"/>
      <c r="M400"/>
      <c r="N400" s="46"/>
      <c r="O400"/>
      <c r="P400"/>
      <c r="Q400"/>
      <c r="R400"/>
      <c r="S400"/>
      <c r="T400"/>
      <c r="U400"/>
      <c r="V400"/>
      <c r="W400"/>
      <c r="X400"/>
      <c r="Y400"/>
      <c r="Z400"/>
      <c r="AA400"/>
      <c r="AB400" s="64"/>
      <c r="AQ400" s="47"/>
    </row>
    <row r="401" spans="4:43" ht="14.25" customHeight="1">
      <c r="D401"/>
      <c r="E401"/>
      <c r="F401"/>
      <c r="G401"/>
      <c r="H401"/>
      <c r="I401"/>
      <c r="J401"/>
      <c r="K401"/>
      <c r="L401"/>
      <c r="M401"/>
      <c r="N401" s="46"/>
      <c r="O401"/>
      <c r="P401"/>
      <c r="Q401"/>
      <c r="R401"/>
      <c r="S401"/>
      <c r="T401"/>
      <c r="U401"/>
      <c r="V401"/>
      <c r="W401"/>
      <c r="X401"/>
      <c r="Y401"/>
      <c r="Z401"/>
      <c r="AA401"/>
      <c r="AB401" s="64"/>
      <c r="AQ401" s="47"/>
    </row>
    <row r="402" spans="4:43" ht="14.25" customHeight="1">
      <c r="D402"/>
      <c r="E402"/>
      <c r="F402"/>
      <c r="G402"/>
      <c r="H402"/>
      <c r="I402"/>
      <c r="J402"/>
      <c r="K402"/>
      <c r="L402"/>
      <c r="M402"/>
      <c r="N402" s="46"/>
      <c r="O402"/>
      <c r="P402"/>
      <c r="Q402"/>
      <c r="R402"/>
      <c r="S402"/>
      <c r="T402"/>
      <c r="U402"/>
      <c r="V402"/>
      <c r="W402"/>
      <c r="X402"/>
      <c r="Y402"/>
      <c r="Z402"/>
      <c r="AA402"/>
      <c r="AB402" s="64"/>
      <c r="AQ402" s="47"/>
    </row>
    <row r="403" spans="4:43" ht="14.25" customHeight="1">
      <c r="D403"/>
      <c r="E403"/>
      <c r="F403"/>
      <c r="G403"/>
      <c r="H403"/>
      <c r="I403"/>
      <c r="J403"/>
      <c r="K403"/>
      <c r="L403"/>
      <c r="M403"/>
      <c r="N403" s="46"/>
      <c r="O403"/>
      <c r="P403"/>
      <c r="Q403"/>
      <c r="R403"/>
      <c r="S403"/>
      <c r="T403"/>
      <c r="U403"/>
      <c r="V403"/>
      <c r="W403"/>
      <c r="X403"/>
      <c r="Y403"/>
      <c r="Z403"/>
      <c r="AA403"/>
      <c r="AB403" s="64"/>
      <c r="AQ403" s="47"/>
    </row>
    <row r="404" spans="4:43" ht="14.25" customHeight="1">
      <c r="D404"/>
      <c r="E404"/>
      <c r="F404"/>
      <c r="G404"/>
      <c r="H404"/>
      <c r="I404"/>
      <c r="J404"/>
      <c r="K404"/>
      <c r="L404"/>
      <c r="M404"/>
      <c r="N404" s="46"/>
      <c r="O404"/>
      <c r="P404"/>
      <c r="Q404"/>
      <c r="R404"/>
      <c r="S404"/>
      <c r="T404"/>
      <c r="U404"/>
      <c r="V404"/>
      <c r="W404"/>
      <c r="X404"/>
      <c r="Y404"/>
      <c r="Z404"/>
      <c r="AA404"/>
      <c r="AB404" s="64"/>
      <c r="AQ404" s="47"/>
    </row>
    <row r="405" spans="4:43" ht="14.25" customHeight="1">
      <c r="D405"/>
      <c r="E405"/>
      <c r="F405"/>
      <c r="G405"/>
      <c r="H405"/>
      <c r="I405"/>
      <c r="J405"/>
      <c r="K405"/>
      <c r="L405"/>
      <c r="M405"/>
      <c r="N405" s="46"/>
      <c r="O405"/>
      <c r="P405"/>
      <c r="Q405"/>
      <c r="R405"/>
      <c r="S405"/>
      <c r="T405"/>
      <c r="U405"/>
      <c r="V405"/>
      <c r="W405"/>
      <c r="X405"/>
      <c r="Y405"/>
      <c r="Z405"/>
      <c r="AA405"/>
      <c r="AB405" s="64"/>
      <c r="AQ405" s="47"/>
    </row>
    <row r="406" spans="4:43" ht="14.25" customHeight="1">
      <c r="D406"/>
      <c r="E406"/>
      <c r="F406"/>
      <c r="G406"/>
      <c r="H406"/>
      <c r="I406"/>
      <c r="J406"/>
      <c r="K406"/>
      <c r="L406"/>
      <c r="M406"/>
      <c r="N406" s="46"/>
      <c r="O406"/>
      <c r="P406"/>
      <c r="Q406"/>
      <c r="R406"/>
      <c r="S406"/>
      <c r="T406"/>
      <c r="U406"/>
      <c r="V406"/>
      <c r="W406"/>
      <c r="X406"/>
      <c r="Y406"/>
      <c r="Z406"/>
      <c r="AA406"/>
      <c r="AB406" s="64"/>
      <c r="AQ406" s="47"/>
    </row>
    <row r="407" spans="4:43" ht="14.25" customHeight="1">
      <c r="D407"/>
      <c r="E407"/>
      <c r="F407"/>
      <c r="G407"/>
      <c r="H407"/>
      <c r="I407"/>
      <c r="J407"/>
      <c r="K407"/>
      <c r="L407"/>
      <c r="M407"/>
      <c r="N407" s="46"/>
      <c r="O407"/>
      <c r="P407"/>
      <c r="Q407"/>
      <c r="R407"/>
      <c r="S407"/>
      <c r="T407"/>
      <c r="U407"/>
      <c r="V407"/>
      <c r="W407"/>
      <c r="X407"/>
      <c r="Y407"/>
      <c r="Z407"/>
      <c r="AA407"/>
      <c r="AB407" s="64"/>
      <c r="AQ407" s="47"/>
    </row>
    <row r="408" spans="4:43" ht="14.25" customHeight="1">
      <c r="D408"/>
      <c r="E408"/>
      <c r="F408"/>
      <c r="G408"/>
      <c r="H408"/>
      <c r="I408"/>
      <c r="J408"/>
      <c r="K408"/>
      <c r="L408"/>
      <c r="M408"/>
      <c r="N408" s="46"/>
      <c r="O408"/>
      <c r="P408"/>
      <c r="Q408"/>
      <c r="R408"/>
      <c r="S408"/>
      <c r="T408"/>
      <c r="U408"/>
      <c r="V408"/>
      <c r="W408"/>
      <c r="X408"/>
      <c r="Y408"/>
      <c r="Z408"/>
      <c r="AA408"/>
      <c r="AB408" s="64"/>
      <c r="AQ408" s="47"/>
    </row>
    <row r="409" spans="4:43" ht="14.25" customHeight="1">
      <c r="D409"/>
      <c r="E409"/>
      <c r="F409"/>
      <c r="G409"/>
      <c r="H409"/>
      <c r="I409"/>
      <c r="J409"/>
      <c r="K409"/>
      <c r="L409"/>
      <c r="M409"/>
      <c r="N409" s="46"/>
      <c r="O409"/>
      <c r="P409"/>
      <c r="Q409"/>
      <c r="R409"/>
      <c r="S409"/>
      <c r="T409"/>
      <c r="U409"/>
      <c r="V409"/>
      <c r="W409"/>
      <c r="X409"/>
      <c r="Y409"/>
      <c r="Z409"/>
      <c r="AA409"/>
      <c r="AB409" s="64"/>
      <c r="AQ409" s="47"/>
    </row>
    <row r="410" spans="4:43" ht="14.25" customHeight="1">
      <c r="D410"/>
      <c r="E410"/>
      <c r="F410"/>
      <c r="G410"/>
      <c r="H410"/>
      <c r="I410"/>
      <c r="J410"/>
      <c r="K410"/>
      <c r="L410"/>
      <c r="M410"/>
      <c r="N410" s="46"/>
      <c r="O410"/>
      <c r="P410"/>
      <c r="Q410"/>
      <c r="R410"/>
      <c r="S410"/>
      <c r="T410"/>
      <c r="U410"/>
      <c r="V410"/>
      <c r="W410"/>
      <c r="X410"/>
      <c r="Y410"/>
      <c r="Z410"/>
      <c r="AA410"/>
      <c r="AB410" s="64"/>
      <c r="AQ410" s="47"/>
    </row>
    <row r="411" spans="4:43" ht="14.25" customHeight="1">
      <c r="D411"/>
      <c r="E411"/>
      <c r="F411"/>
      <c r="G411"/>
      <c r="H411"/>
      <c r="I411"/>
      <c r="J411"/>
      <c r="K411"/>
      <c r="L411"/>
      <c r="M411"/>
      <c r="N411" s="46"/>
      <c r="O411"/>
      <c r="P411"/>
      <c r="Q411"/>
      <c r="R411"/>
      <c r="S411"/>
      <c r="T411"/>
      <c r="U411"/>
      <c r="V411"/>
      <c r="W411"/>
      <c r="X411"/>
      <c r="Y411"/>
      <c r="Z411"/>
      <c r="AA411"/>
      <c r="AB411" s="64"/>
      <c r="AQ411" s="47"/>
    </row>
    <row r="412" spans="4:43" ht="14.25" customHeight="1">
      <c r="D412"/>
      <c r="E412"/>
      <c r="F412"/>
      <c r="G412"/>
      <c r="H412"/>
      <c r="I412"/>
      <c r="J412"/>
      <c r="K412"/>
      <c r="L412"/>
      <c r="M412"/>
      <c r="N412" s="46"/>
      <c r="O412"/>
      <c r="P412"/>
      <c r="Q412"/>
      <c r="R412"/>
      <c r="S412"/>
      <c r="T412"/>
      <c r="U412"/>
      <c r="V412"/>
      <c r="W412"/>
      <c r="X412"/>
      <c r="Y412"/>
      <c r="Z412"/>
      <c r="AA412"/>
      <c r="AB412" s="64"/>
      <c r="AQ412" s="47"/>
    </row>
    <row r="413" spans="4:43" ht="14.25" customHeight="1">
      <c r="D413"/>
      <c r="E413"/>
      <c r="F413"/>
      <c r="G413"/>
      <c r="H413"/>
      <c r="I413"/>
      <c r="J413"/>
      <c r="K413"/>
      <c r="L413"/>
      <c r="M413"/>
      <c r="N413" s="46"/>
      <c r="O413"/>
      <c r="P413"/>
      <c r="Q413"/>
      <c r="R413"/>
      <c r="S413"/>
      <c r="T413"/>
      <c r="U413"/>
      <c r="V413"/>
      <c r="W413"/>
      <c r="X413"/>
      <c r="Y413"/>
      <c r="Z413"/>
      <c r="AA413"/>
      <c r="AB413" s="64"/>
      <c r="AQ413" s="47"/>
    </row>
    <row r="414" spans="4:43" ht="14.25" customHeight="1">
      <c r="D414"/>
      <c r="E414"/>
      <c r="F414"/>
      <c r="G414"/>
      <c r="H414"/>
      <c r="I414"/>
      <c r="J414"/>
      <c r="K414"/>
      <c r="L414"/>
      <c r="M414"/>
      <c r="N414" s="46"/>
      <c r="O414"/>
      <c r="P414"/>
      <c r="Q414"/>
      <c r="R414"/>
      <c r="S414"/>
      <c r="T414"/>
      <c r="U414"/>
      <c r="V414"/>
      <c r="W414"/>
      <c r="X414"/>
      <c r="Y414"/>
      <c r="Z414"/>
      <c r="AA414"/>
      <c r="AB414" s="64"/>
      <c r="AQ414" s="47"/>
    </row>
    <row r="415" spans="4:43" ht="14.25" customHeight="1">
      <c r="D415"/>
      <c r="E415"/>
      <c r="F415"/>
      <c r="G415"/>
      <c r="H415"/>
      <c r="I415"/>
      <c r="J415"/>
      <c r="K415"/>
      <c r="L415"/>
      <c r="M415"/>
      <c r="N415" s="46"/>
      <c r="O415"/>
      <c r="P415"/>
      <c r="Q415"/>
      <c r="R415"/>
      <c r="S415"/>
      <c r="T415"/>
      <c r="U415"/>
      <c r="V415"/>
      <c r="W415"/>
      <c r="X415"/>
      <c r="Y415"/>
      <c r="Z415"/>
      <c r="AA415"/>
      <c r="AB415" s="64"/>
      <c r="AQ415" s="47"/>
    </row>
    <row r="416" spans="4:43" ht="14.25" customHeight="1">
      <c r="D416"/>
      <c r="E416"/>
      <c r="F416"/>
      <c r="G416"/>
      <c r="H416"/>
      <c r="I416"/>
      <c r="J416"/>
      <c r="K416"/>
      <c r="L416"/>
      <c r="M416"/>
      <c r="N416" s="46"/>
      <c r="O416"/>
      <c r="P416"/>
      <c r="Q416"/>
      <c r="R416"/>
      <c r="S416"/>
      <c r="T416"/>
      <c r="U416"/>
      <c r="V416"/>
      <c r="W416"/>
      <c r="X416"/>
      <c r="Y416"/>
      <c r="Z416"/>
      <c r="AA416"/>
      <c r="AB416" s="64"/>
      <c r="AQ416" s="47"/>
    </row>
    <row r="417" spans="4:43" ht="14.25" customHeight="1">
      <c r="D417"/>
      <c r="E417"/>
      <c r="F417"/>
      <c r="G417"/>
      <c r="H417"/>
      <c r="I417"/>
      <c r="J417"/>
      <c r="K417"/>
      <c r="L417"/>
      <c r="M417"/>
      <c r="N417" s="46"/>
      <c r="O417"/>
      <c r="P417"/>
      <c r="Q417"/>
      <c r="R417"/>
      <c r="S417"/>
      <c r="T417"/>
      <c r="U417"/>
      <c r="V417"/>
      <c r="W417"/>
      <c r="X417"/>
      <c r="Y417"/>
      <c r="Z417"/>
      <c r="AA417"/>
      <c r="AB417" s="64"/>
      <c r="AQ417" s="47"/>
    </row>
    <row r="418" spans="4:43" ht="14.25" customHeight="1">
      <c r="D418"/>
      <c r="E418"/>
      <c r="F418"/>
      <c r="G418"/>
      <c r="H418"/>
      <c r="I418"/>
      <c r="J418"/>
      <c r="K418"/>
      <c r="L418"/>
      <c r="M418"/>
      <c r="N418" s="46"/>
      <c r="O418"/>
      <c r="P418"/>
      <c r="Q418"/>
      <c r="R418"/>
      <c r="S418"/>
      <c r="T418"/>
      <c r="U418"/>
      <c r="V418"/>
      <c r="W418"/>
      <c r="X418"/>
      <c r="Y418"/>
      <c r="Z418"/>
      <c r="AA418"/>
      <c r="AB418" s="64"/>
      <c r="AQ418" s="47"/>
    </row>
    <row r="419" spans="4:43" ht="14.25" customHeight="1">
      <c r="D419"/>
      <c r="E419"/>
      <c r="F419"/>
      <c r="G419"/>
      <c r="H419"/>
      <c r="I419"/>
      <c r="J419"/>
      <c r="K419"/>
      <c r="L419"/>
      <c r="M419"/>
      <c r="N419" s="46"/>
      <c r="O419"/>
      <c r="P419"/>
      <c r="Q419"/>
      <c r="R419"/>
      <c r="S419"/>
      <c r="T419"/>
      <c r="U419"/>
      <c r="V419"/>
      <c r="W419"/>
      <c r="X419"/>
      <c r="Y419"/>
      <c r="Z419"/>
      <c r="AA419"/>
      <c r="AB419" s="64"/>
      <c r="AQ419" s="47"/>
    </row>
    <row r="420" spans="4:43" ht="14.25" customHeight="1">
      <c r="D420"/>
      <c r="E420"/>
      <c r="F420"/>
      <c r="G420"/>
      <c r="H420"/>
      <c r="I420"/>
      <c r="J420"/>
      <c r="K420"/>
      <c r="L420"/>
      <c r="M420"/>
      <c r="N420" s="46"/>
      <c r="O420"/>
      <c r="P420"/>
      <c r="Q420"/>
      <c r="R420"/>
      <c r="S420"/>
      <c r="T420"/>
      <c r="U420"/>
      <c r="V420"/>
      <c r="W420"/>
      <c r="X420"/>
      <c r="Y420"/>
      <c r="Z420"/>
      <c r="AA420"/>
      <c r="AB420" s="64"/>
      <c r="AQ420" s="47"/>
    </row>
    <row r="421" spans="4:43" ht="14.25" customHeight="1">
      <c r="D421"/>
      <c r="E421"/>
      <c r="F421"/>
      <c r="G421"/>
      <c r="H421"/>
      <c r="I421"/>
      <c r="J421"/>
      <c r="K421"/>
      <c r="L421"/>
      <c r="M421"/>
      <c r="N421" s="46"/>
      <c r="O421"/>
      <c r="P421"/>
      <c r="Q421"/>
      <c r="R421"/>
      <c r="S421"/>
      <c r="T421"/>
      <c r="U421"/>
      <c r="V421"/>
      <c r="W421"/>
      <c r="X421"/>
      <c r="Y421"/>
      <c r="Z421"/>
      <c r="AA421"/>
      <c r="AB421" s="64"/>
      <c r="AQ421" s="47"/>
    </row>
    <row r="422" spans="4:43" ht="14.25" customHeight="1">
      <c r="D422"/>
      <c r="E422"/>
      <c r="F422"/>
      <c r="G422"/>
      <c r="H422"/>
      <c r="I422"/>
      <c r="J422"/>
      <c r="K422"/>
      <c r="L422"/>
      <c r="M422"/>
      <c r="N422" s="46"/>
      <c r="O422"/>
      <c r="P422"/>
      <c r="Q422"/>
      <c r="R422"/>
      <c r="S422"/>
      <c r="T422"/>
      <c r="U422"/>
      <c r="V422"/>
      <c r="W422"/>
      <c r="X422"/>
      <c r="Y422"/>
      <c r="Z422"/>
      <c r="AA422"/>
      <c r="AB422" s="64"/>
      <c r="AQ422" s="47"/>
    </row>
    <row r="423" spans="4:43" ht="14.25" customHeight="1">
      <c r="D423"/>
      <c r="E423"/>
      <c r="F423"/>
      <c r="G423"/>
      <c r="H423"/>
      <c r="I423"/>
      <c r="J423"/>
      <c r="K423"/>
      <c r="L423"/>
      <c r="M423"/>
      <c r="N423" s="46"/>
      <c r="O423"/>
      <c r="P423"/>
      <c r="Q423"/>
      <c r="R423"/>
      <c r="S423"/>
      <c r="T423"/>
      <c r="U423"/>
      <c r="V423"/>
      <c r="W423"/>
      <c r="X423"/>
      <c r="Y423"/>
      <c r="Z423"/>
      <c r="AA423"/>
      <c r="AB423" s="64"/>
      <c r="AQ423" s="47"/>
    </row>
    <row r="424" spans="4:43" ht="14.25" customHeight="1">
      <c r="D424"/>
      <c r="E424"/>
      <c r="F424"/>
      <c r="G424"/>
      <c r="H424"/>
      <c r="I424"/>
      <c r="J424"/>
      <c r="K424"/>
      <c r="L424"/>
      <c r="M424"/>
      <c r="N424" s="46"/>
      <c r="O424"/>
      <c r="P424"/>
      <c r="Q424"/>
      <c r="R424"/>
      <c r="S424"/>
      <c r="T424"/>
      <c r="U424"/>
      <c r="V424"/>
      <c r="W424"/>
      <c r="X424"/>
      <c r="Y424"/>
      <c r="Z424"/>
      <c r="AA424"/>
      <c r="AB424" s="64"/>
      <c r="AQ424" s="47"/>
    </row>
    <row r="425" spans="4:43" ht="14.25" customHeight="1">
      <c r="D425"/>
      <c r="E425"/>
      <c r="F425"/>
      <c r="G425"/>
      <c r="H425"/>
      <c r="I425"/>
      <c r="J425"/>
      <c r="K425"/>
      <c r="L425"/>
      <c r="M425"/>
      <c r="N425" s="46"/>
      <c r="O425"/>
      <c r="P425"/>
      <c r="Q425"/>
      <c r="R425"/>
      <c r="S425"/>
      <c r="T425"/>
      <c r="U425"/>
      <c r="V425"/>
      <c r="W425"/>
      <c r="X425"/>
      <c r="Y425"/>
      <c r="Z425"/>
      <c r="AA425"/>
      <c r="AB425" s="64"/>
      <c r="AQ425" s="47"/>
    </row>
    <row r="426" spans="4:43" ht="14.25" customHeight="1">
      <c r="D426"/>
      <c r="E426"/>
      <c r="F426"/>
      <c r="G426"/>
      <c r="H426"/>
      <c r="I426"/>
      <c r="J426"/>
      <c r="K426"/>
      <c r="L426"/>
      <c r="M426"/>
      <c r="N426" s="46"/>
      <c r="O426"/>
      <c r="P426"/>
      <c r="Q426"/>
      <c r="R426"/>
      <c r="S426"/>
      <c r="T426"/>
      <c r="U426"/>
      <c r="V426"/>
      <c r="W426"/>
      <c r="X426"/>
      <c r="Y426"/>
      <c r="Z426"/>
      <c r="AA426"/>
      <c r="AB426" s="64"/>
      <c r="AQ426" s="47"/>
    </row>
    <row r="427" spans="4:43" ht="14.25" customHeight="1">
      <c r="D427"/>
      <c r="E427"/>
      <c r="F427"/>
      <c r="G427"/>
      <c r="H427"/>
      <c r="I427"/>
      <c r="J427"/>
      <c r="K427"/>
      <c r="L427"/>
      <c r="M427"/>
      <c r="N427" s="46"/>
      <c r="O427"/>
      <c r="P427"/>
      <c r="Q427"/>
      <c r="R427"/>
      <c r="S427"/>
      <c r="T427"/>
      <c r="U427"/>
      <c r="V427"/>
      <c r="W427"/>
      <c r="X427"/>
      <c r="Y427"/>
      <c r="Z427"/>
      <c r="AA427"/>
      <c r="AB427" s="64"/>
      <c r="AQ427" s="47"/>
    </row>
    <row r="428" spans="4:43" ht="14.25" customHeight="1">
      <c r="D428"/>
      <c r="E428"/>
      <c r="F428"/>
      <c r="G428"/>
      <c r="H428"/>
      <c r="I428"/>
      <c r="J428"/>
      <c r="K428"/>
      <c r="L428"/>
      <c r="M428"/>
      <c r="N428" s="46"/>
      <c r="O428"/>
      <c r="P428"/>
      <c r="Q428"/>
      <c r="R428"/>
      <c r="S428"/>
      <c r="T428"/>
      <c r="U428"/>
      <c r="V428"/>
      <c r="W428"/>
      <c r="X428"/>
      <c r="Y428"/>
      <c r="Z428"/>
      <c r="AA428"/>
      <c r="AB428" s="64"/>
      <c r="AQ428" s="47"/>
    </row>
    <row r="429" spans="4:43" ht="14.25" customHeight="1">
      <c r="D429"/>
      <c r="E429"/>
      <c r="F429"/>
      <c r="G429"/>
      <c r="H429"/>
      <c r="I429"/>
      <c r="J429"/>
      <c r="K429"/>
      <c r="L429"/>
      <c r="M429"/>
      <c r="N429" s="46"/>
      <c r="O429"/>
      <c r="P429"/>
      <c r="Q429"/>
      <c r="R429"/>
      <c r="S429"/>
      <c r="T429"/>
      <c r="U429"/>
      <c r="V429"/>
      <c r="W429"/>
      <c r="X429"/>
      <c r="Y429"/>
      <c r="Z429"/>
      <c r="AA429"/>
      <c r="AB429" s="64"/>
      <c r="AQ429" s="47"/>
    </row>
    <row r="430" spans="4:43" ht="14.25" customHeight="1">
      <c r="D430"/>
      <c r="E430"/>
      <c r="F430"/>
      <c r="G430"/>
      <c r="H430"/>
      <c r="I430"/>
      <c r="J430"/>
      <c r="K430"/>
      <c r="L430"/>
      <c r="M430"/>
      <c r="N430" s="46"/>
      <c r="O430"/>
      <c r="P430"/>
      <c r="Q430"/>
      <c r="R430"/>
      <c r="S430"/>
      <c r="T430"/>
      <c r="U430"/>
      <c r="V430"/>
      <c r="W430"/>
      <c r="X430"/>
      <c r="Y430"/>
      <c r="Z430"/>
      <c r="AA430"/>
      <c r="AB430" s="64"/>
      <c r="AQ430" s="47"/>
    </row>
    <row r="431" spans="4:43" ht="14.25" customHeight="1">
      <c r="D431"/>
      <c r="E431"/>
      <c r="F431"/>
      <c r="G431"/>
      <c r="H431"/>
      <c r="I431"/>
      <c r="J431"/>
      <c r="K431"/>
      <c r="L431"/>
      <c r="M431"/>
      <c r="N431" s="46"/>
      <c r="O431"/>
      <c r="P431"/>
      <c r="Q431"/>
      <c r="R431"/>
      <c r="S431"/>
      <c r="T431"/>
      <c r="U431"/>
      <c r="V431"/>
      <c r="W431"/>
      <c r="X431"/>
      <c r="Y431"/>
      <c r="Z431"/>
      <c r="AA431"/>
      <c r="AB431" s="64"/>
      <c r="AQ431" s="47"/>
    </row>
    <row r="432" spans="4:43" ht="14.25" customHeight="1">
      <c r="D432"/>
      <c r="E432"/>
      <c r="F432"/>
      <c r="G432"/>
      <c r="H432"/>
      <c r="I432"/>
      <c r="J432"/>
      <c r="K432"/>
      <c r="L432"/>
      <c r="M432"/>
      <c r="N432" s="46"/>
      <c r="O432"/>
      <c r="P432"/>
      <c r="Q432"/>
      <c r="R432"/>
      <c r="S432"/>
      <c r="T432"/>
      <c r="U432"/>
      <c r="V432"/>
      <c r="W432"/>
      <c r="X432"/>
      <c r="Y432"/>
      <c r="Z432"/>
      <c r="AA432"/>
      <c r="AB432" s="64"/>
      <c r="AQ432" s="47"/>
    </row>
    <row r="433" spans="4:43" ht="14.25" customHeight="1">
      <c r="D433"/>
      <c r="E433"/>
      <c r="F433"/>
      <c r="G433"/>
      <c r="H433"/>
      <c r="I433"/>
      <c r="J433"/>
      <c r="K433"/>
      <c r="L433"/>
      <c r="M433"/>
      <c r="N433" s="46"/>
      <c r="O433"/>
      <c r="P433"/>
      <c r="Q433"/>
      <c r="R433"/>
      <c r="S433"/>
      <c r="T433"/>
      <c r="U433"/>
      <c r="V433"/>
      <c r="W433"/>
      <c r="X433"/>
      <c r="Y433"/>
      <c r="Z433"/>
      <c r="AA433"/>
      <c r="AB433" s="64"/>
      <c r="AQ433" s="47"/>
    </row>
    <row r="434" spans="4:43" ht="14.25" customHeight="1">
      <c r="D434"/>
      <c r="E434"/>
      <c r="F434"/>
      <c r="G434"/>
      <c r="H434"/>
      <c r="I434"/>
      <c r="J434"/>
      <c r="K434"/>
      <c r="L434"/>
      <c r="M434"/>
      <c r="N434" s="46"/>
      <c r="O434"/>
      <c r="P434"/>
      <c r="Q434"/>
      <c r="R434"/>
      <c r="S434"/>
      <c r="T434"/>
      <c r="U434"/>
      <c r="V434"/>
      <c r="W434"/>
      <c r="X434"/>
      <c r="Y434"/>
      <c r="Z434"/>
      <c r="AA434"/>
      <c r="AB434" s="64"/>
      <c r="AQ434" s="47"/>
    </row>
    <row r="435" spans="4:43" ht="14.25" customHeight="1">
      <c r="D435"/>
      <c r="E435"/>
      <c r="F435"/>
      <c r="G435"/>
      <c r="H435"/>
      <c r="I435"/>
      <c r="J435"/>
      <c r="K435"/>
      <c r="L435"/>
      <c r="M435"/>
      <c r="N435" s="46"/>
      <c r="O435"/>
      <c r="P435"/>
      <c r="Q435"/>
      <c r="R435"/>
      <c r="S435"/>
      <c r="T435"/>
      <c r="U435"/>
      <c r="V435"/>
      <c r="W435"/>
      <c r="X435"/>
      <c r="Y435"/>
      <c r="Z435"/>
      <c r="AA435"/>
      <c r="AB435" s="64"/>
      <c r="AQ435" s="47"/>
    </row>
    <row r="436" spans="4:43" ht="14.25" customHeight="1">
      <c r="D436"/>
      <c r="E436"/>
      <c r="F436"/>
      <c r="G436"/>
      <c r="H436"/>
      <c r="I436"/>
      <c r="J436"/>
      <c r="K436"/>
      <c r="L436"/>
      <c r="M436"/>
      <c r="N436" s="46"/>
      <c r="O436"/>
      <c r="P436"/>
      <c r="Q436"/>
      <c r="R436"/>
      <c r="S436"/>
      <c r="T436"/>
      <c r="U436"/>
      <c r="V436"/>
      <c r="W436"/>
      <c r="X436"/>
      <c r="Y436"/>
      <c r="Z436"/>
      <c r="AA436"/>
      <c r="AB436" s="64"/>
      <c r="AQ436" s="47"/>
    </row>
    <row r="437" spans="4:43" ht="14.25" customHeight="1">
      <c r="D437"/>
      <c r="E437"/>
      <c r="F437"/>
      <c r="G437"/>
      <c r="H437"/>
      <c r="I437"/>
      <c r="J437"/>
      <c r="K437"/>
      <c r="L437"/>
      <c r="M437"/>
      <c r="N437" s="46"/>
      <c r="O437"/>
      <c r="P437"/>
      <c r="Q437"/>
      <c r="R437"/>
      <c r="S437"/>
      <c r="T437"/>
      <c r="U437"/>
      <c r="V437"/>
      <c r="W437"/>
      <c r="X437"/>
      <c r="Y437"/>
      <c r="Z437"/>
      <c r="AA437"/>
      <c r="AB437" s="64"/>
      <c r="AQ437" s="47"/>
    </row>
    <row r="438" spans="4:43" ht="14.25" customHeight="1">
      <c r="D438"/>
      <c r="E438"/>
      <c r="F438"/>
      <c r="G438"/>
      <c r="H438"/>
      <c r="I438"/>
      <c r="J438"/>
      <c r="K438"/>
      <c r="L438"/>
      <c r="M438"/>
      <c r="N438" s="46"/>
      <c r="O438"/>
      <c r="P438"/>
      <c r="Q438"/>
      <c r="R438"/>
      <c r="S438"/>
      <c r="T438"/>
      <c r="U438"/>
      <c r="V438"/>
      <c r="W438"/>
      <c r="X438"/>
      <c r="Y438"/>
      <c r="Z438"/>
      <c r="AA438"/>
      <c r="AB438" s="64"/>
      <c r="AQ438" s="47"/>
    </row>
    <row r="439" spans="4:43" ht="14.25" customHeight="1">
      <c r="D439"/>
      <c r="E439"/>
      <c r="F439"/>
      <c r="G439"/>
      <c r="H439"/>
      <c r="I439"/>
      <c r="J439"/>
      <c r="K439"/>
      <c r="L439"/>
      <c r="M439"/>
      <c r="N439" s="46"/>
      <c r="O439"/>
      <c r="P439"/>
      <c r="Q439"/>
      <c r="R439"/>
      <c r="S439"/>
      <c r="T439"/>
      <c r="U439"/>
      <c r="V439"/>
      <c r="W439"/>
      <c r="X439"/>
      <c r="Y439"/>
      <c r="Z439"/>
      <c r="AA439"/>
      <c r="AB439" s="64"/>
      <c r="AQ439" s="47"/>
    </row>
    <row r="440" spans="4:43" ht="14.25" customHeight="1">
      <c r="D440"/>
      <c r="E440"/>
      <c r="F440"/>
      <c r="G440"/>
      <c r="H440"/>
      <c r="I440"/>
      <c r="J440"/>
      <c r="K440"/>
      <c r="L440"/>
      <c r="M440"/>
      <c r="N440" s="46"/>
      <c r="O440"/>
      <c r="P440"/>
      <c r="Q440"/>
      <c r="R440"/>
      <c r="S440"/>
      <c r="T440"/>
      <c r="U440"/>
      <c r="V440"/>
      <c r="W440"/>
      <c r="X440"/>
      <c r="Y440"/>
      <c r="Z440"/>
      <c r="AA440"/>
      <c r="AB440" s="64"/>
      <c r="AQ440" s="47"/>
    </row>
    <row r="441" spans="4:43" ht="14.25" customHeight="1">
      <c r="D441"/>
      <c r="E441"/>
      <c r="F441"/>
      <c r="G441"/>
      <c r="H441"/>
      <c r="I441"/>
      <c r="J441"/>
      <c r="K441"/>
      <c r="L441"/>
      <c r="M441"/>
      <c r="N441" s="46"/>
      <c r="O441"/>
      <c r="P441"/>
      <c r="Q441"/>
      <c r="R441"/>
      <c r="S441"/>
      <c r="T441"/>
      <c r="U441"/>
      <c r="V441"/>
      <c r="W441"/>
      <c r="X441"/>
      <c r="Y441"/>
      <c r="Z441"/>
      <c r="AA441"/>
      <c r="AB441" s="64"/>
      <c r="AQ441" s="47"/>
    </row>
    <row r="442" spans="4:43" ht="14.25" customHeight="1">
      <c r="D442"/>
      <c r="E442"/>
      <c r="F442"/>
      <c r="G442"/>
      <c r="H442"/>
      <c r="I442"/>
      <c r="J442"/>
      <c r="K442"/>
      <c r="L442"/>
      <c r="M442"/>
      <c r="N442" s="46"/>
      <c r="O442"/>
      <c r="P442"/>
      <c r="Q442"/>
      <c r="R442"/>
      <c r="S442"/>
      <c r="T442"/>
      <c r="U442"/>
      <c r="V442"/>
      <c r="W442"/>
      <c r="X442"/>
      <c r="Y442"/>
      <c r="Z442"/>
      <c r="AA442"/>
      <c r="AB442" s="64"/>
      <c r="AQ442" s="47"/>
    </row>
    <row r="443" spans="4:43" ht="14.25" customHeight="1">
      <c r="D443"/>
      <c r="E443"/>
      <c r="F443"/>
      <c r="G443"/>
      <c r="H443"/>
      <c r="I443"/>
      <c r="J443"/>
      <c r="K443"/>
      <c r="L443"/>
      <c r="M443"/>
      <c r="N443" s="46"/>
      <c r="O443"/>
      <c r="P443"/>
      <c r="Q443"/>
      <c r="R443"/>
      <c r="S443"/>
      <c r="T443"/>
      <c r="U443"/>
      <c r="V443"/>
      <c r="W443"/>
      <c r="X443"/>
      <c r="Y443"/>
      <c r="Z443"/>
      <c r="AA443"/>
      <c r="AB443" s="64"/>
      <c r="AQ443" s="47"/>
    </row>
    <row r="444" spans="4:43" ht="14.25" customHeight="1">
      <c r="D444"/>
      <c r="E444"/>
      <c r="F444"/>
      <c r="G444"/>
      <c r="H444"/>
      <c r="I444"/>
      <c r="J444"/>
      <c r="K444"/>
      <c r="L444"/>
      <c r="M444"/>
      <c r="N444" s="46"/>
      <c r="O444"/>
      <c r="P444"/>
      <c r="Q444"/>
      <c r="R444"/>
      <c r="S444"/>
      <c r="T444"/>
      <c r="U444"/>
      <c r="V444"/>
      <c r="W444"/>
      <c r="X444"/>
      <c r="Y444"/>
      <c r="Z444"/>
      <c r="AA444"/>
      <c r="AB444" s="64"/>
      <c r="AQ444" s="47"/>
    </row>
    <row r="445" spans="4:43" ht="14.25" customHeight="1">
      <c r="D445"/>
      <c r="E445"/>
      <c r="F445"/>
      <c r="G445"/>
      <c r="H445"/>
      <c r="I445"/>
      <c r="J445"/>
      <c r="K445"/>
      <c r="L445"/>
      <c r="M445"/>
      <c r="N445" s="46"/>
      <c r="O445"/>
      <c r="P445"/>
      <c r="Q445"/>
      <c r="R445"/>
      <c r="S445"/>
      <c r="T445"/>
      <c r="U445"/>
      <c r="V445"/>
      <c r="W445"/>
      <c r="X445"/>
      <c r="Y445"/>
      <c r="Z445"/>
      <c r="AA445"/>
      <c r="AB445" s="64"/>
      <c r="AQ445" s="47"/>
    </row>
    <row r="446" spans="4:43" ht="14.25" customHeight="1">
      <c r="D446"/>
      <c r="E446"/>
      <c r="F446"/>
      <c r="G446"/>
      <c r="H446"/>
      <c r="I446"/>
      <c r="J446"/>
      <c r="K446"/>
      <c r="L446"/>
      <c r="M446"/>
      <c r="N446" s="46"/>
      <c r="O446"/>
      <c r="P446"/>
      <c r="Q446"/>
      <c r="R446"/>
      <c r="S446"/>
      <c r="T446"/>
      <c r="U446"/>
      <c r="V446"/>
      <c r="W446"/>
      <c r="X446"/>
      <c r="Y446"/>
      <c r="Z446"/>
      <c r="AA446"/>
      <c r="AB446" s="64"/>
      <c r="AQ446" s="47"/>
    </row>
    <row r="447" spans="4:43" ht="14.25" customHeight="1">
      <c r="D447"/>
      <c r="E447"/>
      <c r="F447"/>
      <c r="G447"/>
      <c r="H447"/>
      <c r="I447"/>
      <c r="J447"/>
      <c r="K447"/>
      <c r="L447"/>
      <c r="M447"/>
      <c r="N447" s="46"/>
      <c r="O447"/>
      <c r="P447"/>
      <c r="Q447"/>
      <c r="R447"/>
      <c r="S447"/>
      <c r="T447"/>
      <c r="U447"/>
      <c r="V447"/>
      <c r="W447"/>
      <c r="X447"/>
      <c r="Y447"/>
      <c r="Z447"/>
      <c r="AA447"/>
      <c r="AB447" s="64"/>
      <c r="AQ447" s="47"/>
    </row>
    <row r="448" spans="4:43" ht="14.25" customHeight="1">
      <c r="D448"/>
      <c r="E448"/>
      <c r="F448"/>
      <c r="G448"/>
      <c r="H448"/>
      <c r="I448"/>
      <c r="J448"/>
      <c r="K448"/>
      <c r="L448"/>
      <c r="M448"/>
      <c r="N448" s="46"/>
      <c r="O448"/>
      <c r="P448"/>
      <c r="Q448"/>
      <c r="R448"/>
      <c r="S448"/>
      <c r="T448"/>
      <c r="U448"/>
      <c r="V448"/>
      <c r="W448"/>
      <c r="X448"/>
      <c r="Y448"/>
      <c r="Z448"/>
      <c r="AA448"/>
      <c r="AB448" s="64"/>
      <c r="AQ448" s="47"/>
    </row>
    <row r="449" spans="4:43" ht="14.25" customHeight="1">
      <c r="D449"/>
      <c r="E449"/>
      <c r="F449"/>
      <c r="G449"/>
      <c r="H449"/>
      <c r="I449"/>
      <c r="J449"/>
      <c r="K449"/>
      <c r="L449"/>
      <c r="M449"/>
      <c r="N449" s="46"/>
      <c r="O449"/>
      <c r="P449"/>
      <c r="Q449"/>
      <c r="R449"/>
      <c r="S449"/>
      <c r="T449"/>
      <c r="U449"/>
      <c r="V449"/>
      <c r="W449"/>
      <c r="X449"/>
      <c r="Y449"/>
      <c r="Z449"/>
      <c r="AA449"/>
      <c r="AB449" s="64"/>
      <c r="AQ449" s="47"/>
    </row>
    <row r="450" spans="4:43" ht="14.25" customHeight="1">
      <c r="D450"/>
      <c r="E450"/>
      <c r="F450"/>
      <c r="G450"/>
      <c r="H450"/>
      <c r="I450"/>
      <c r="J450"/>
      <c r="K450"/>
      <c r="L450"/>
      <c r="M450"/>
      <c r="N450" s="46"/>
      <c r="O450"/>
      <c r="P450"/>
      <c r="Q450"/>
      <c r="R450"/>
      <c r="S450"/>
      <c r="T450"/>
      <c r="U450"/>
      <c r="V450"/>
      <c r="W450"/>
      <c r="X450"/>
      <c r="Y450"/>
      <c r="Z450"/>
      <c r="AA450"/>
      <c r="AB450" s="64"/>
      <c r="AQ450" s="47"/>
    </row>
    <row r="451" spans="4:43" ht="14.25" customHeight="1">
      <c r="D451"/>
      <c r="E451"/>
      <c r="F451"/>
      <c r="G451"/>
      <c r="H451"/>
      <c r="I451"/>
      <c r="J451"/>
      <c r="K451"/>
      <c r="L451"/>
      <c r="M451"/>
      <c r="N451" s="46"/>
      <c r="O451"/>
      <c r="P451"/>
      <c r="Q451"/>
      <c r="R451"/>
      <c r="S451"/>
      <c r="T451"/>
      <c r="U451"/>
      <c r="V451"/>
      <c r="W451"/>
      <c r="X451"/>
      <c r="Y451"/>
      <c r="Z451"/>
      <c r="AA451"/>
      <c r="AB451" s="64"/>
      <c r="AQ451" s="47"/>
    </row>
    <row r="452" spans="4:43" ht="14.25" customHeight="1">
      <c r="D452"/>
      <c r="E452"/>
      <c r="F452"/>
      <c r="G452"/>
      <c r="H452"/>
      <c r="I452"/>
      <c r="J452"/>
      <c r="K452"/>
      <c r="L452"/>
      <c r="M452"/>
      <c r="N452" s="46"/>
      <c r="O452"/>
      <c r="P452"/>
      <c r="Q452"/>
      <c r="R452"/>
      <c r="S452"/>
      <c r="T452"/>
      <c r="U452"/>
      <c r="V452"/>
      <c r="W452"/>
      <c r="X452"/>
      <c r="Y452"/>
      <c r="Z452"/>
      <c r="AA452"/>
      <c r="AB452" s="64"/>
      <c r="AQ452" s="47"/>
    </row>
    <row r="453" spans="4:43" ht="14.25" customHeight="1">
      <c r="D453"/>
      <c r="E453"/>
      <c r="F453"/>
      <c r="G453"/>
      <c r="H453"/>
      <c r="I453"/>
      <c r="J453"/>
      <c r="K453"/>
      <c r="L453"/>
      <c r="M453"/>
      <c r="N453" s="46"/>
      <c r="O453"/>
      <c r="P453"/>
      <c r="Q453"/>
      <c r="R453"/>
      <c r="S453"/>
      <c r="T453"/>
      <c r="U453"/>
      <c r="V453"/>
      <c r="W453"/>
      <c r="X453"/>
      <c r="Y453"/>
      <c r="Z453"/>
      <c r="AA453"/>
      <c r="AB453" s="64"/>
      <c r="AQ453" s="47"/>
    </row>
    <row r="454" spans="4:43" ht="14.25" customHeight="1">
      <c r="D454"/>
      <c r="E454"/>
      <c r="F454"/>
      <c r="G454"/>
      <c r="H454"/>
      <c r="I454"/>
      <c r="J454"/>
      <c r="K454"/>
      <c r="L454"/>
      <c r="M454"/>
      <c r="N454" s="46"/>
      <c r="O454"/>
      <c r="P454"/>
      <c r="Q454"/>
      <c r="R454"/>
      <c r="S454"/>
      <c r="T454"/>
      <c r="U454"/>
      <c r="V454"/>
      <c r="W454"/>
      <c r="X454"/>
      <c r="Y454"/>
      <c r="Z454"/>
      <c r="AA454"/>
      <c r="AB454" s="64"/>
      <c r="AQ454" s="47"/>
    </row>
    <row r="455" spans="4:43" ht="14.25" customHeight="1">
      <c r="D455"/>
      <c r="E455"/>
      <c r="F455"/>
      <c r="G455"/>
      <c r="H455"/>
      <c r="I455"/>
      <c r="J455"/>
      <c r="K455"/>
      <c r="L455"/>
      <c r="M455"/>
      <c r="N455" s="46"/>
      <c r="O455"/>
      <c r="P455"/>
      <c r="Q455"/>
      <c r="R455"/>
      <c r="S455"/>
      <c r="T455"/>
      <c r="U455"/>
      <c r="V455"/>
      <c r="W455"/>
      <c r="X455"/>
      <c r="Y455"/>
      <c r="Z455"/>
      <c r="AA455"/>
      <c r="AB455" s="64"/>
      <c r="AQ455" s="47"/>
    </row>
    <row r="456" spans="4:43" ht="14.25" customHeight="1">
      <c r="D456"/>
      <c r="E456"/>
      <c r="F456"/>
      <c r="G456"/>
      <c r="H456"/>
      <c r="I456"/>
      <c r="J456"/>
      <c r="K456"/>
      <c r="L456"/>
      <c r="M456"/>
      <c r="N456" s="46"/>
      <c r="O456"/>
      <c r="P456"/>
      <c r="Q456"/>
      <c r="R456"/>
      <c r="S456"/>
      <c r="T456"/>
      <c r="U456"/>
      <c r="V456"/>
      <c r="W456"/>
      <c r="X456"/>
      <c r="Y456"/>
      <c r="Z456"/>
      <c r="AA456"/>
      <c r="AB456" s="64"/>
      <c r="AQ456" s="47"/>
    </row>
    <row r="457" spans="4:43" ht="14.25" customHeight="1">
      <c r="D457"/>
      <c r="E457"/>
      <c r="F457"/>
      <c r="G457"/>
      <c r="H457"/>
      <c r="I457"/>
      <c r="J457"/>
      <c r="K457"/>
      <c r="L457"/>
      <c r="M457"/>
      <c r="N457" s="46"/>
      <c r="O457"/>
      <c r="P457"/>
      <c r="Q457"/>
      <c r="R457"/>
      <c r="S457"/>
      <c r="T457"/>
      <c r="U457"/>
      <c r="V457"/>
      <c r="W457"/>
      <c r="X457"/>
      <c r="Y457"/>
      <c r="Z457"/>
      <c r="AA457"/>
      <c r="AB457" s="64"/>
      <c r="AQ457" s="47"/>
    </row>
    <row r="458" spans="4:43" ht="14.25" customHeight="1">
      <c r="D458"/>
      <c r="E458"/>
      <c r="F458"/>
      <c r="G458"/>
      <c r="H458"/>
      <c r="I458"/>
      <c r="J458"/>
      <c r="K458"/>
      <c r="L458"/>
      <c r="M458"/>
      <c r="N458" s="46"/>
      <c r="O458"/>
      <c r="P458"/>
      <c r="Q458"/>
      <c r="R458"/>
      <c r="S458"/>
      <c r="T458"/>
      <c r="U458"/>
      <c r="V458"/>
      <c r="W458"/>
      <c r="X458"/>
      <c r="Y458"/>
      <c r="Z458"/>
      <c r="AA458"/>
      <c r="AB458" s="64"/>
      <c r="AQ458" s="47"/>
    </row>
    <row r="459" spans="4:43" ht="14.25" customHeight="1">
      <c r="D459"/>
      <c r="E459"/>
      <c r="F459"/>
      <c r="G459"/>
      <c r="H459"/>
      <c r="I459"/>
      <c r="J459"/>
      <c r="K459"/>
      <c r="L459"/>
      <c r="M459"/>
      <c r="N459" s="46"/>
      <c r="O459"/>
      <c r="P459"/>
      <c r="Q459"/>
      <c r="R459"/>
      <c r="S459"/>
      <c r="T459"/>
      <c r="U459"/>
      <c r="V459"/>
      <c r="W459"/>
      <c r="X459"/>
      <c r="Y459"/>
      <c r="Z459"/>
      <c r="AA459"/>
      <c r="AB459" s="64"/>
      <c r="AQ459" s="47"/>
    </row>
    <row r="460" spans="4:43" ht="14.25" customHeight="1">
      <c r="D460"/>
      <c r="E460"/>
      <c r="F460"/>
      <c r="G460"/>
      <c r="H460"/>
      <c r="I460"/>
      <c r="J460"/>
      <c r="K460"/>
      <c r="L460"/>
      <c r="M460"/>
      <c r="N460" s="46"/>
      <c r="O460"/>
      <c r="P460"/>
      <c r="Q460"/>
      <c r="R460"/>
      <c r="S460"/>
      <c r="T460"/>
      <c r="U460"/>
      <c r="V460"/>
      <c r="W460"/>
      <c r="X460"/>
      <c r="Y460"/>
      <c r="Z460"/>
      <c r="AA460"/>
      <c r="AB460" s="64"/>
      <c r="AQ460" s="47"/>
    </row>
    <row r="461" spans="4:43" ht="14.25" customHeight="1">
      <c r="D461"/>
      <c r="E461"/>
      <c r="F461"/>
      <c r="G461"/>
      <c r="H461"/>
      <c r="I461"/>
      <c r="J461"/>
      <c r="K461"/>
      <c r="L461"/>
      <c r="M461"/>
      <c r="N461" s="46"/>
      <c r="O461"/>
      <c r="P461"/>
      <c r="Q461"/>
      <c r="R461"/>
      <c r="S461"/>
      <c r="T461"/>
      <c r="U461"/>
      <c r="V461"/>
      <c r="W461"/>
      <c r="X461"/>
      <c r="Y461"/>
      <c r="Z461"/>
      <c r="AA461"/>
      <c r="AB461" s="64"/>
      <c r="AQ461" s="47"/>
    </row>
    <row r="462" spans="4:43" ht="14.25" customHeight="1">
      <c r="D462"/>
      <c r="E462"/>
      <c r="F462"/>
      <c r="G462"/>
      <c r="H462"/>
      <c r="I462"/>
      <c r="J462"/>
      <c r="K462"/>
      <c r="L462"/>
      <c r="M462"/>
      <c r="N462" s="46"/>
      <c r="O462"/>
      <c r="P462"/>
      <c r="Q462"/>
      <c r="R462"/>
      <c r="S462"/>
      <c r="T462"/>
      <c r="U462"/>
      <c r="V462"/>
      <c r="W462"/>
      <c r="X462"/>
      <c r="Y462"/>
      <c r="Z462"/>
      <c r="AA462"/>
      <c r="AB462" s="64"/>
      <c r="AQ462" s="47"/>
    </row>
    <row r="463" spans="4:43" ht="14.25" customHeight="1">
      <c r="D463"/>
      <c r="E463"/>
      <c r="F463"/>
      <c r="G463"/>
      <c r="H463"/>
      <c r="I463"/>
      <c r="J463"/>
      <c r="K463"/>
      <c r="L463"/>
      <c r="M463"/>
      <c r="N463" s="46"/>
      <c r="O463"/>
      <c r="P463"/>
      <c r="Q463"/>
      <c r="R463"/>
      <c r="S463"/>
      <c r="T463"/>
      <c r="U463"/>
      <c r="V463"/>
      <c r="W463"/>
      <c r="X463"/>
      <c r="Y463"/>
      <c r="Z463"/>
      <c r="AA463"/>
      <c r="AB463" s="64"/>
      <c r="AQ463" s="47"/>
    </row>
    <row r="464" spans="4:43" ht="14.25" customHeight="1">
      <c r="D464"/>
      <c r="E464"/>
      <c r="F464"/>
      <c r="G464"/>
      <c r="H464"/>
      <c r="I464"/>
      <c r="J464"/>
      <c r="K464"/>
      <c r="L464"/>
      <c r="M464"/>
      <c r="N464" s="46"/>
      <c r="O464"/>
      <c r="P464"/>
      <c r="Q464"/>
      <c r="R464"/>
      <c r="S464"/>
      <c r="T464"/>
      <c r="U464"/>
      <c r="V464"/>
      <c r="W464"/>
      <c r="X464"/>
      <c r="Y464"/>
      <c r="Z464"/>
      <c r="AA464"/>
      <c r="AB464" s="64"/>
      <c r="AQ464" s="47"/>
    </row>
    <row r="465" spans="4:43" ht="14.25" customHeight="1">
      <c r="D465"/>
      <c r="E465"/>
      <c r="F465"/>
      <c r="G465"/>
      <c r="H465"/>
      <c r="I465"/>
      <c r="J465"/>
      <c r="K465"/>
      <c r="L465"/>
      <c r="M465"/>
      <c r="N465" s="46"/>
      <c r="O465"/>
      <c r="P465"/>
      <c r="Q465"/>
      <c r="R465"/>
      <c r="S465"/>
      <c r="T465"/>
      <c r="U465"/>
      <c r="V465"/>
      <c r="W465"/>
      <c r="X465"/>
      <c r="Y465"/>
      <c r="Z465"/>
      <c r="AA465"/>
      <c r="AB465" s="64"/>
      <c r="AQ465" s="47"/>
    </row>
    <row r="466" spans="4:43" ht="14.25" customHeight="1">
      <c r="D466"/>
      <c r="E466"/>
      <c r="F466"/>
      <c r="G466"/>
      <c r="H466"/>
      <c r="I466"/>
      <c r="J466"/>
      <c r="K466"/>
      <c r="L466"/>
      <c r="M466"/>
      <c r="N466" s="46"/>
      <c r="O466"/>
      <c r="P466"/>
      <c r="Q466"/>
      <c r="R466"/>
      <c r="S466"/>
      <c r="T466"/>
      <c r="U466"/>
      <c r="V466"/>
      <c r="W466"/>
      <c r="X466"/>
      <c r="Y466"/>
      <c r="Z466"/>
      <c r="AA466"/>
      <c r="AB466" s="64"/>
      <c r="AQ466" s="47"/>
    </row>
    <row r="467" spans="4:43" ht="14.25" customHeight="1">
      <c r="D467"/>
      <c r="E467"/>
      <c r="F467"/>
      <c r="G467"/>
      <c r="H467"/>
      <c r="I467"/>
      <c r="J467"/>
      <c r="K467"/>
      <c r="L467"/>
      <c r="M467"/>
      <c r="N467" s="46"/>
      <c r="O467"/>
      <c r="P467"/>
      <c r="Q467"/>
      <c r="R467"/>
      <c r="S467"/>
      <c r="T467"/>
      <c r="U467"/>
      <c r="V467"/>
      <c r="W467"/>
      <c r="X467"/>
      <c r="Y467"/>
      <c r="Z467"/>
      <c r="AA467"/>
      <c r="AB467" s="64"/>
      <c r="AQ467" s="47"/>
    </row>
    <row r="468" spans="4:43" ht="14.25" customHeight="1">
      <c r="D468"/>
      <c r="E468"/>
      <c r="F468"/>
      <c r="G468"/>
      <c r="H468"/>
      <c r="I468"/>
      <c r="J468"/>
      <c r="K468"/>
      <c r="L468"/>
      <c r="M468"/>
      <c r="N468" s="46"/>
      <c r="O468"/>
      <c r="P468"/>
      <c r="Q468"/>
      <c r="R468"/>
      <c r="S468"/>
      <c r="T468"/>
      <c r="U468"/>
      <c r="V468"/>
      <c r="W468"/>
      <c r="X468"/>
      <c r="Y468"/>
      <c r="Z468"/>
      <c r="AA468"/>
      <c r="AB468" s="64"/>
      <c r="AQ468" s="47"/>
    </row>
    <row r="469" spans="4:43" ht="14.25" customHeight="1">
      <c r="D469"/>
      <c r="E469"/>
      <c r="F469"/>
      <c r="G469"/>
      <c r="H469"/>
      <c r="I469"/>
      <c r="J469"/>
      <c r="K469"/>
      <c r="L469"/>
      <c r="M469"/>
      <c r="N469" s="46"/>
      <c r="O469"/>
      <c r="P469"/>
      <c r="Q469"/>
      <c r="R469"/>
      <c r="S469"/>
      <c r="T469"/>
      <c r="U469"/>
      <c r="V469"/>
      <c r="W469"/>
      <c r="X469"/>
      <c r="Y469"/>
      <c r="Z469"/>
      <c r="AA469"/>
      <c r="AB469" s="64"/>
      <c r="AQ469" s="47"/>
    </row>
    <row r="470" spans="4:43" ht="14.25" customHeight="1">
      <c r="D470"/>
      <c r="E470"/>
      <c r="F470"/>
      <c r="G470"/>
      <c r="H470"/>
      <c r="I470"/>
      <c r="J470"/>
      <c r="K470"/>
      <c r="L470"/>
      <c r="M470"/>
      <c r="N470" s="46"/>
      <c r="O470"/>
      <c r="P470"/>
      <c r="Q470"/>
      <c r="R470"/>
      <c r="S470"/>
      <c r="T470"/>
      <c r="U470"/>
      <c r="V470"/>
      <c r="W470"/>
      <c r="X470"/>
      <c r="Y470"/>
      <c r="Z470"/>
      <c r="AA470"/>
      <c r="AB470" s="64"/>
      <c r="AQ470" s="47"/>
    </row>
    <row r="471" spans="4:43" ht="14.25" customHeight="1">
      <c r="D471"/>
      <c r="E471"/>
      <c r="F471"/>
      <c r="G471"/>
      <c r="H471"/>
      <c r="I471"/>
      <c r="J471"/>
      <c r="K471"/>
      <c r="L471"/>
      <c r="M471"/>
      <c r="N471" s="46"/>
      <c r="O471"/>
      <c r="P471"/>
      <c r="Q471"/>
      <c r="R471"/>
      <c r="S471"/>
      <c r="T471"/>
      <c r="U471"/>
      <c r="V471"/>
      <c r="W471"/>
      <c r="X471"/>
      <c r="Y471"/>
      <c r="Z471"/>
      <c r="AA471"/>
      <c r="AB471" s="64"/>
      <c r="AQ471" s="47"/>
    </row>
    <row r="472" spans="4:43" ht="14.25" customHeight="1">
      <c r="D472"/>
      <c r="E472"/>
      <c r="F472"/>
      <c r="G472"/>
      <c r="H472"/>
      <c r="I472"/>
      <c r="J472"/>
      <c r="K472"/>
      <c r="L472"/>
      <c r="M472"/>
      <c r="N472" s="46"/>
      <c r="O472"/>
      <c r="P472"/>
      <c r="Q472"/>
      <c r="R472"/>
      <c r="S472"/>
      <c r="T472"/>
      <c r="U472"/>
      <c r="V472"/>
      <c r="W472"/>
      <c r="X472"/>
      <c r="Y472"/>
      <c r="Z472"/>
      <c r="AA472"/>
      <c r="AB472" s="64"/>
      <c r="AQ472" s="47"/>
    </row>
    <row r="473" spans="4:43" ht="14.25" customHeight="1">
      <c r="D473"/>
      <c r="E473"/>
      <c r="F473"/>
      <c r="G473"/>
      <c r="H473"/>
      <c r="I473"/>
      <c r="J473"/>
      <c r="K473"/>
      <c r="L473"/>
      <c r="M473"/>
      <c r="N473" s="46"/>
      <c r="O473"/>
      <c r="P473"/>
      <c r="Q473"/>
      <c r="R473"/>
      <c r="S473"/>
      <c r="T473"/>
      <c r="U473"/>
      <c r="V473"/>
      <c r="W473"/>
      <c r="X473"/>
      <c r="Y473"/>
      <c r="Z473"/>
      <c r="AA473"/>
      <c r="AB473" s="64"/>
      <c r="AQ473" s="47"/>
    </row>
    <row r="474" spans="4:43" ht="14.25" customHeight="1">
      <c r="D474"/>
      <c r="E474"/>
      <c r="F474"/>
      <c r="G474"/>
      <c r="H474"/>
      <c r="I474"/>
      <c r="J474"/>
      <c r="K474"/>
      <c r="L474"/>
      <c r="M474"/>
      <c r="N474" s="46"/>
      <c r="O474"/>
      <c r="P474"/>
      <c r="Q474"/>
      <c r="R474"/>
      <c r="S474"/>
      <c r="T474"/>
      <c r="U474"/>
      <c r="V474"/>
      <c r="W474"/>
      <c r="X474"/>
      <c r="Y474"/>
      <c r="Z474"/>
      <c r="AA474"/>
      <c r="AB474" s="64"/>
      <c r="AQ474" s="47"/>
    </row>
    <row r="475" spans="4:43" ht="14.25" customHeight="1">
      <c r="D475"/>
      <c r="E475"/>
      <c r="F475"/>
      <c r="G475"/>
      <c r="H475"/>
      <c r="I475"/>
      <c r="J475"/>
      <c r="K475"/>
      <c r="L475"/>
      <c r="M475"/>
      <c r="N475" s="46"/>
      <c r="O475"/>
      <c r="P475"/>
      <c r="Q475"/>
      <c r="R475"/>
      <c r="S475"/>
      <c r="T475"/>
      <c r="U475"/>
      <c r="V475"/>
      <c r="W475"/>
      <c r="X475"/>
      <c r="Y475"/>
      <c r="Z475"/>
      <c r="AA475"/>
      <c r="AB475" s="64"/>
      <c r="AQ475" s="47"/>
    </row>
    <row r="476" spans="4:43" ht="14.25" customHeight="1">
      <c r="D476"/>
      <c r="E476"/>
      <c r="F476"/>
      <c r="G476"/>
      <c r="H476"/>
      <c r="I476"/>
      <c r="J476"/>
      <c r="K476"/>
      <c r="L476"/>
      <c r="M476"/>
      <c r="N476" s="46"/>
      <c r="O476"/>
      <c r="P476"/>
      <c r="Q476"/>
      <c r="R476"/>
      <c r="S476"/>
      <c r="T476"/>
      <c r="U476"/>
      <c r="V476"/>
      <c r="W476"/>
      <c r="X476"/>
      <c r="Y476"/>
      <c r="Z476"/>
      <c r="AA476"/>
      <c r="AB476" s="64"/>
      <c r="AQ476" s="47"/>
    </row>
    <row r="477" spans="4:43" ht="14.25" customHeight="1">
      <c r="D477"/>
      <c r="E477"/>
      <c r="F477"/>
      <c r="G477"/>
      <c r="H477"/>
      <c r="I477"/>
      <c r="J477"/>
      <c r="K477"/>
      <c r="L477"/>
      <c r="M477"/>
      <c r="N477" s="46"/>
      <c r="O477"/>
      <c r="P477"/>
      <c r="Q477"/>
      <c r="R477"/>
      <c r="S477"/>
      <c r="T477"/>
      <c r="U477"/>
      <c r="V477"/>
      <c r="W477"/>
      <c r="X477"/>
      <c r="Y477"/>
      <c r="Z477"/>
      <c r="AA477"/>
      <c r="AB477" s="64"/>
      <c r="AQ477" s="47"/>
    </row>
    <row r="478" spans="4:43" ht="14.25" customHeight="1">
      <c r="D478"/>
      <c r="E478"/>
      <c r="F478"/>
      <c r="G478"/>
      <c r="H478"/>
      <c r="I478"/>
      <c r="J478"/>
      <c r="K478"/>
      <c r="L478"/>
      <c r="M478"/>
      <c r="N478" s="46"/>
      <c r="O478"/>
      <c r="P478"/>
      <c r="Q478"/>
      <c r="R478"/>
      <c r="S478"/>
      <c r="T478"/>
      <c r="U478"/>
      <c r="V478"/>
      <c r="W478"/>
      <c r="X478"/>
      <c r="Y478"/>
      <c r="Z478"/>
      <c r="AA478"/>
      <c r="AB478" s="64"/>
      <c r="AQ478" s="47"/>
    </row>
    <row r="479" spans="4:43" ht="14.25" customHeight="1">
      <c r="D479"/>
      <c r="E479"/>
      <c r="F479"/>
      <c r="G479"/>
      <c r="H479"/>
      <c r="I479"/>
      <c r="J479"/>
      <c r="K479"/>
      <c r="L479"/>
      <c r="M479"/>
      <c r="N479" s="46"/>
      <c r="O479"/>
      <c r="P479"/>
      <c r="Q479"/>
      <c r="R479"/>
      <c r="S479"/>
      <c r="T479"/>
      <c r="U479"/>
      <c r="V479"/>
      <c r="W479"/>
      <c r="X479"/>
      <c r="Y479"/>
      <c r="Z479"/>
      <c r="AA479"/>
      <c r="AB479" s="64"/>
      <c r="AQ479" s="47"/>
    </row>
    <row r="480" spans="4:43" ht="14.25" customHeight="1">
      <c r="D480"/>
      <c r="E480"/>
      <c r="F480"/>
      <c r="G480"/>
      <c r="H480"/>
      <c r="I480"/>
      <c r="J480"/>
      <c r="K480"/>
      <c r="L480"/>
      <c r="M480"/>
      <c r="N480" s="46"/>
      <c r="O480"/>
      <c r="P480"/>
      <c r="Q480"/>
      <c r="R480"/>
      <c r="S480"/>
      <c r="T480"/>
      <c r="U480"/>
      <c r="V480"/>
      <c r="W480"/>
      <c r="X480"/>
      <c r="Y480"/>
      <c r="Z480"/>
      <c r="AA480"/>
      <c r="AB480" s="64"/>
      <c r="AQ480" s="47"/>
    </row>
    <row r="481" spans="4:43" ht="14.25" customHeight="1">
      <c r="D481"/>
      <c r="E481"/>
      <c r="F481"/>
      <c r="G481"/>
      <c r="H481"/>
      <c r="I481"/>
      <c r="J481"/>
      <c r="K481"/>
      <c r="L481"/>
      <c r="M481"/>
      <c r="N481" s="46"/>
      <c r="O481"/>
      <c r="P481"/>
      <c r="Q481"/>
      <c r="R481"/>
      <c r="S481"/>
      <c r="T481"/>
      <c r="U481"/>
      <c r="V481"/>
      <c r="W481"/>
      <c r="X481"/>
      <c r="Y481"/>
      <c r="Z481"/>
      <c r="AA481"/>
      <c r="AB481" s="64"/>
      <c r="AQ481" s="47"/>
    </row>
    <row r="482" spans="4:43" ht="14.25" customHeight="1">
      <c r="D482"/>
      <c r="E482"/>
      <c r="F482"/>
      <c r="G482"/>
      <c r="H482"/>
      <c r="I482"/>
      <c r="J482"/>
      <c r="K482"/>
      <c r="L482"/>
      <c r="M482"/>
      <c r="N482" s="46"/>
      <c r="O482"/>
      <c r="P482"/>
      <c r="Q482"/>
      <c r="R482"/>
      <c r="S482"/>
      <c r="T482"/>
      <c r="U482"/>
      <c r="V482"/>
      <c r="W482"/>
      <c r="X482"/>
      <c r="Y482"/>
      <c r="Z482"/>
      <c r="AA482"/>
      <c r="AB482" s="64"/>
      <c r="AQ482" s="47"/>
    </row>
    <row r="483" spans="4:43" ht="14.25" customHeight="1">
      <c r="D483"/>
      <c r="E483"/>
      <c r="F483"/>
      <c r="G483"/>
      <c r="H483"/>
      <c r="I483"/>
      <c r="J483"/>
      <c r="K483"/>
      <c r="L483"/>
      <c r="M483"/>
      <c r="N483" s="46"/>
      <c r="O483"/>
      <c r="P483"/>
      <c r="Q483"/>
      <c r="R483"/>
      <c r="S483"/>
      <c r="T483"/>
      <c r="U483"/>
      <c r="V483"/>
      <c r="W483"/>
      <c r="X483"/>
      <c r="Y483"/>
      <c r="Z483"/>
      <c r="AA483"/>
      <c r="AB483" s="64"/>
      <c r="AQ483" s="47"/>
    </row>
    <row r="484" spans="4:43" ht="14.25" customHeight="1">
      <c r="D484"/>
      <c r="E484"/>
      <c r="F484"/>
      <c r="G484"/>
      <c r="H484"/>
      <c r="I484"/>
      <c r="J484"/>
      <c r="K484"/>
      <c r="L484"/>
      <c r="M484"/>
      <c r="N484" s="46"/>
      <c r="O484"/>
      <c r="P484"/>
      <c r="Q484"/>
      <c r="R484"/>
      <c r="S484"/>
      <c r="T484"/>
      <c r="U484"/>
      <c r="V484"/>
      <c r="W484"/>
      <c r="X484"/>
      <c r="Y484"/>
      <c r="Z484"/>
      <c r="AA484"/>
      <c r="AB484" s="64"/>
      <c r="AQ484" s="47"/>
    </row>
    <row r="485" spans="4:43" ht="14.25" customHeight="1">
      <c r="D485"/>
      <c r="E485"/>
      <c r="F485"/>
      <c r="G485"/>
      <c r="H485"/>
      <c r="I485"/>
      <c r="J485"/>
      <c r="K485"/>
      <c r="L485"/>
      <c r="M485"/>
      <c r="N485" s="46"/>
      <c r="O485"/>
      <c r="P485"/>
      <c r="Q485"/>
      <c r="R485"/>
      <c r="S485"/>
      <c r="T485"/>
      <c r="U485"/>
      <c r="V485"/>
      <c r="W485"/>
      <c r="X485"/>
      <c r="Y485"/>
      <c r="Z485"/>
      <c r="AA485"/>
      <c r="AB485" s="64"/>
      <c r="AQ485" s="47"/>
    </row>
    <row r="486" spans="4:43" ht="14.25" customHeight="1">
      <c r="D486"/>
      <c r="E486"/>
      <c r="F486"/>
      <c r="G486"/>
      <c r="H486"/>
      <c r="I486"/>
      <c r="J486"/>
      <c r="K486"/>
      <c r="L486"/>
      <c r="M486"/>
      <c r="N486" s="46"/>
      <c r="O486"/>
      <c r="P486"/>
      <c r="Q486"/>
      <c r="R486"/>
      <c r="S486"/>
      <c r="T486"/>
      <c r="U486"/>
      <c r="V486"/>
      <c r="W486"/>
      <c r="X486"/>
      <c r="Y486"/>
      <c r="Z486"/>
      <c r="AA486"/>
      <c r="AB486" s="64"/>
      <c r="AQ486" s="47"/>
    </row>
    <row r="487" spans="4:43" ht="14.25" customHeight="1">
      <c r="D487"/>
      <c r="E487"/>
      <c r="F487"/>
      <c r="G487"/>
      <c r="H487"/>
      <c r="I487"/>
      <c r="J487"/>
      <c r="K487"/>
      <c r="L487"/>
      <c r="M487"/>
      <c r="N487" s="46"/>
      <c r="O487"/>
      <c r="P487"/>
      <c r="Q487"/>
      <c r="R487"/>
      <c r="S487"/>
      <c r="T487"/>
      <c r="U487"/>
      <c r="V487"/>
      <c r="W487"/>
      <c r="X487"/>
      <c r="Y487"/>
      <c r="Z487"/>
      <c r="AA487"/>
      <c r="AB487" s="64"/>
      <c r="AQ487" s="47"/>
    </row>
    <row r="488" spans="4:43" ht="14.25" customHeight="1">
      <c r="D488"/>
      <c r="E488"/>
      <c r="F488"/>
      <c r="G488"/>
      <c r="H488"/>
      <c r="I488"/>
      <c r="J488"/>
      <c r="K488"/>
      <c r="L488"/>
      <c r="M488"/>
      <c r="N488" s="46"/>
      <c r="O488"/>
      <c r="P488"/>
      <c r="Q488"/>
      <c r="R488"/>
      <c r="S488"/>
      <c r="T488"/>
      <c r="U488"/>
      <c r="V488"/>
      <c r="W488"/>
      <c r="X488"/>
      <c r="Y488"/>
      <c r="Z488"/>
      <c r="AA488"/>
      <c r="AB488" s="64"/>
      <c r="AQ488" s="47"/>
    </row>
    <row r="489" spans="4:43" ht="14.25" customHeight="1">
      <c r="D489"/>
      <c r="E489"/>
      <c r="F489"/>
      <c r="G489"/>
      <c r="H489"/>
      <c r="I489"/>
      <c r="J489"/>
      <c r="K489"/>
      <c r="L489"/>
      <c r="M489"/>
      <c r="N489" s="46"/>
      <c r="O489"/>
      <c r="P489"/>
      <c r="Q489"/>
      <c r="R489"/>
      <c r="S489"/>
      <c r="T489"/>
      <c r="U489"/>
      <c r="V489"/>
      <c r="W489"/>
      <c r="X489"/>
      <c r="Y489"/>
      <c r="Z489"/>
      <c r="AA489"/>
      <c r="AB489" s="64"/>
      <c r="AQ489" s="47"/>
    </row>
    <row r="490" spans="4:43" ht="14.25" customHeight="1">
      <c r="D490"/>
      <c r="E490"/>
      <c r="F490"/>
      <c r="G490"/>
      <c r="H490"/>
      <c r="I490"/>
      <c r="J490"/>
      <c r="K490"/>
      <c r="L490"/>
      <c r="M490"/>
      <c r="N490" s="46"/>
      <c r="O490"/>
      <c r="P490"/>
      <c r="Q490"/>
      <c r="R490"/>
      <c r="S490"/>
      <c r="T490"/>
      <c r="U490"/>
      <c r="V490"/>
      <c r="W490"/>
      <c r="X490"/>
      <c r="Y490"/>
      <c r="Z490"/>
      <c r="AA490"/>
      <c r="AB490" s="64"/>
      <c r="AQ490" s="47"/>
    </row>
    <row r="491" spans="4:43" ht="14.25" customHeight="1">
      <c r="D491"/>
      <c r="E491"/>
      <c r="F491"/>
      <c r="G491"/>
      <c r="H491"/>
      <c r="I491"/>
      <c r="J491"/>
      <c r="K491"/>
      <c r="L491"/>
      <c r="M491"/>
      <c r="N491" s="46"/>
      <c r="O491"/>
      <c r="P491"/>
      <c r="Q491"/>
      <c r="R491"/>
      <c r="S491"/>
      <c r="T491"/>
      <c r="U491"/>
      <c r="V491"/>
      <c r="W491"/>
      <c r="X491"/>
      <c r="Y491"/>
      <c r="Z491"/>
      <c r="AA491"/>
      <c r="AB491" s="64"/>
      <c r="AQ491" s="47"/>
    </row>
    <row r="492" spans="4:43" ht="14.25" customHeight="1">
      <c r="D492"/>
      <c r="E492"/>
      <c r="F492"/>
      <c r="G492"/>
      <c r="H492"/>
      <c r="I492"/>
      <c r="J492"/>
      <c r="K492"/>
      <c r="L492"/>
      <c r="M492"/>
      <c r="N492" s="46"/>
      <c r="O492"/>
      <c r="P492"/>
      <c r="Q492"/>
      <c r="R492"/>
      <c r="S492"/>
      <c r="T492"/>
      <c r="U492"/>
      <c r="V492"/>
      <c r="W492"/>
      <c r="X492"/>
      <c r="Y492"/>
      <c r="Z492"/>
      <c r="AA492"/>
      <c r="AB492" s="64"/>
      <c r="AQ492" s="47"/>
    </row>
    <row r="493" spans="4:43" ht="14.25" customHeight="1">
      <c r="D493"/>
      <c r="E493"/>
      <c r="F493"/>
      <c r="G493"/>
      <c r="H493"/>
      <c r="I493"/>
      <c r="J493"/>
      <c r="K493"/>
      <c r="L493"/>
      <c r="M493"/>
      <c r="N493" s="46"/>
      <c r="O493"/>
      <c r="P493"/>
      <c r="Q493"/>
      <c r="R493"/>
      <c r="S493"/>
      <c r="T493"/>
      <c r="U493"/>
      <c r="V493"/>
      <c r="W493"/>
      <c r="X493"/>
      <c r="Y493"/>
      <c r="Z493"/>
      <c r="AA493"/>
      <c r="AB493" s="64"/>
      <c r="AQ493" s="47"/>
    </row>
    <row r="494" spans="4:43" ht="14.25" customHeight="1">
      <c r="D494"/>
      <c r="E494"/>
      <c r="F494"/>
      <c r="G494"/>
      <c r="H494"/>
      <c r="I494"/>
      <c r="J494"/>
      <c r="K494"/>
      <c r="L494"/>
      <c r="M494"/>
      <c r="N494" s="46"/>
      <c r="O494"/>
      <c r="P494"/>
      <c r="Q494"/>
      <c r="R494"/>
      <c r="S494"/>
      <c r="T494"/>
      <c r="U494"/>
      <c r="V494"/>
      <c r="W494"/>
      <c r="X494"/>
      <c r="Y494"/>
      <c r="Z494"/>
      <c r="AA494"/>
      <c r="AB494" s="64"/>
      <c r="AQ494" s="47"/>
    </row>
    <row r="495" spans="4:43" ht="14.25" customHeight="1">
      <c r="D495"/>
      <c r="E495"/>
      <c r="F495"/>
      <c r="G495"/>
      <c r="H495"/>
      <c r="I495"/>
      <c r="J495"/>
      <c r="K495"/>
      <c r="L495"/>
      <c r="M495"/>
      <c r="N495" s="46"/>
      <c r="O495"/>
      <c r="P495"/>
      <c r="Q495"/>
      <c r="R495"/>
      <c r="S495"/>
      <c r="T495"/>
      <c r="U495"/>
      <c r="V495"/>
      <c r="W495"/>
      <c r="X495"/>
      <c r="Y495"/>
      <c r="Z495"/>
      <c r="AA495"/>
      <c r="AB495" s="64"/>
      <c r="AQ495" s="47"/>
    </row>
    <row r="496" spans="4:43" ht="14.25" customHeight="1">
      <c r="D496"/>
      <c r="E496"/>
      <c r="F496"/>
      <c r="G496"/>
      <c r="H496"/>
      <c r="I496"/>
      <c r="J496"/>
      <c r="K496"/>
      <c r="L496"/>
      <c r="M496"/>
      <c r="N496" s="46"/>
      <c r="O496"/>
      <c r="P496"/>
      <c r="Q496"/>
      <c r="R496"/>
      <c r="S496"/>
      <c r="T496"/>
      <c r="U496"/>
      <c r="V496"/>
      <c r="W496"/>
      <c r="X496"/>
      <c r="Y496"/>
      <c r="Z496"/>
      <c r="AA496"/>
      <c r="AB496" s="64"/>
      <c r="AQ496" s="47"/>
    </row>
    <row r="497" spans="4:43" ht="14.25" customHeight="1">
      <c r="D497"/>
      <c r="E497"/>
      <c r="F497"/>
      <c r="G497"/>
      <c r="H497"/>
      <c r="I497"/>
      <c r="J497"/>
      <c r="K497"/>
      <c r="L497"/>
      <c r="M497"/>
      <c r="N497" s="46"/>
      <c r="O497"/>
      <c r="P497"/>
      <c r="Q497"/>
      <c r="R497"/>
      <c r="S497"/>
      <c r="T497"/>
      <c r="U497"/>
      <c r="V497"/>
      <c r="W497"/>
      <c r="X497"/>
      <c r="Y497"/>
      <c r="Z497"/>
      <c r="AA497"/>
      <c r="AB497" s="64"/>
      <c r="AQ497" s="47"/>
    </row>
    <row r="498" spans="4:43" ht="14.25" customHeight="1">
      <c r="D498"/>
      <c r="E498"/>
      <c r="F498"/>
      <c r="G498"/>
      <c r="H498"/>
      <c r="I498"/>
      <c r="J498"/>
      <c r="K498"/>
      <c r="L498"/>
      <c r="M498"/>
      <c r="N498" s="46"/>
      <c r="O498"/>
      <c r="P498"/>
      <c r="Q498"/>
      <c r="R498"/>
      <c r="S498"/>
      <c r="T498"/>
      <c r="U498"/>
      <c r="V498"/>
      <c r="W498"/>
      <c r="X498"/>
      <c r="Y498"/>
      <c r="Z498"/>
      <c r="AA498"/>
      <c r="AB498" s="64"/>
      <c r="AQ498" s="47"/>
    </row>
    <row r="499" spans="4:43" ht="14.25" customHeight="1">
      <c r="D499"/>
      <c r="E499"/>
      <c r="F499"/>
      <c r="G499"/>
      <c r="H499"/>
      <c r="I499"/>
      <c r="J499"/>
      <c r="K499"/>
      <c r="L499"/>
      <c r="M499"/>
      <c r="N499" s="46"/>
      <c r="O499"/>
      <c r="P499"/>
      <c r="Q499"/>
      <c r="R499"/>
      <c r="S499"/>
      <c r="T499"/>
      <c r="U499"/>
      <c r="V499"/>
      <c r="W499"/>
      <c r="X499"/>
      <c r="Y499"/>
      <c r="Z499"/>
      <c r="AA499"/>
      <c r="AB499" s="64"/>
      <c r="AQ499" s="47"/>
    </row>
    <row r="500" spans="4:43" ht="14.25" customHeight="1">
      <c r="D500"/>
      <c r="E500"/>
      <c r="F500"/>
      <c r="G500"/>
      <c r="H500"/>
      <c r="I500"/>
      <c r="J500"/>
      <c r="K500"/>
      <c r="L500"/>
      <c r="M500"/>
      <c r="N500" s="46"/>
      <c r="O500"/>
      <c r="P500"/>
      <c r="Q500"/>
      <c r="R500"/>
      <c r="S500"/>
      <c r="T500"/>
      <c r="U500"/>
      <c r="V500"/>
      <c r="W500"/>
      <c r="X500"/>
      <c r="Y500"/>
      <c r="Z500"/>
      <c r="AA500"/>
      <c r="AB500" s="64"/>
      <c r="AQ500" s="47"/>
    </row>
    <row r="501" spans="4:43" ht="14.25" customHeight="1">
      <c r="D501"/>
      <c r="E501"/>
      <c r="F501"/>
      <c r="G501"/>
      <c r="H501"/>
      <c r="I501"/>
      <c r="J501"/>
      <c r="K501"/>
      <c r="L501"/>
      <c r="M501"/>
      <c r="N501" s="46"/>
      <c r="O501"/>
      <c r="P501"/>
      <c r="Q501"/>
      <c r="R501"/>
      <c r="S501"/>
      <c r="T501"/>
      <c r="U501"/>
      <c r="V501"/>
      <c r="W501"/>
      <c r="X501"/>
      <c r="Y501"/>
      <c r="Z501"/>
      <c r="AA501"/>
      <c r="AB501" s="64"/>
      <c r="AQ501" s="47"/>
    </row>
    <row r="502" spans="4:43" ht="14.25" customHeight="1">
      <c r="D502"/>
      <c r="E502"/>
      <c r="F502"/>
      <c r="G502"/>
      <c r="H502"/>
      <c r="I502"/>
      <c r="J502"/>
      <c r="K502"/>
      <c r="L502"/>
      <c r="M502"/>
      <c r="N502" s="46"/>
      <c r="O502"/>
      <c r="P502"/>
      <c r="Q502"/>
      <c r="R502"/>
      <c r="S502"/>
      <c r="T502"/>
      <c r="U502"/>
      <c r="V502"/>
      <c r="W502"/>
      <c r="X502"/>
      <c r="Y502"/>
      <c r="Z502"/>
      <c r="AA502"/>
      <c r="AB502" s="64"/>
      <c r="AQ502" s="47"/>
    </row>
    <row r="503" spans="4:43" ht="14.25" customHeight="1">
      <c r="D503"/>
      <c r="E503"/>
      <c r="F503"/>
      <c r="G503"/>
      <c r="H503"/>
      <c r="I503"/>
      <c r="J503"/>
      <c r="K503"/>
      <c r="L503"/>
      <c r="M503"/>
      <c r="N503" s="46"/>
      <c r="O503"/>
      <c r="P503"/>
      <c r="Q503"/>
      <c r="R503"/>
      <c r="S503"/>
      <c r="T503"/>
      <c r="U503"/>
      <c r="V503"/>
      <c r="W503"/>
      <c r="X503"/>
      <c r="Y503"/>
      <c r="Z503"/>
      <c r="AA503"/>
      <c r="AB503" s="64"/>
      <c r="AQ503" s="47"/>
    </row>
    <row r="504" spans="4:43" ht="14.25" customHeight="1">
      <c r="D504"/>
      <c r="E504"/>
      <c r="F504"/>
      <c r="G504"/>
      <c r="H504"/>
      <c r="I504"/>
      <c r="J504"/>
      <c r="K504"/>
      <c r="L504"/>
      <c r="M504"/>
      <c r="N504" s="46"/>
      <c r="O504"/>
      <c r="P504"/>
      <c r="Q504"/>
      <c r="R504"/>
      <c r="S504"/>
      <c r="T504"/>
      <c r="U504"/>
      <c r="V504"/>
      <c r="W504"/>
      <c r="X504"/>
      <c r="Y504"/>
      <c r="Z504"/>
      <c r="AA504"/>
      <c r="AB504" s="64"/>
      <c r="AQ504" s="47"/>
    </row>
    <row r="505" spans="4:43" ht="14.25" customHeight="1">
      <c r="D505"/>
      <c r="E505"/>
      <c r="F505"/>
      <c r="G505"/>
      <c r="H505"/>
      <c r="I505"/>
      <c r="J505"/>
      <c r="K505"/>
      <c r="L505"/>
      <c r="M505"/>
      <c r="N505" s="46"/>
      <c r="O505"/>
      <c r="P505"/>
      <c r="Q505"/>
      <c r="R505"/>
      <c r="S505"/>
      <c r="T505"/>
      <c r="U505"/>
      <c r="V505"/>
      <c r="W505"/>
      <c r="X505"/>
      <c r="Y505"/>
      <c r="Z505"/>
      <c r="AA505"/>
      <c r="AB505" s="64"/>
      <c r="AQ505" s="47"/>
    </row>
    <row r="506" spans="4:43" ht="14.25" customHeight="1">
      <c r="D506"/>
      <c r="E506"/>
      <c r="F506"/>
      <c r="G506"/>
      <c r="H506"/>
      <c r="I506"/>
      <c r="J506"/>
      <c r="K506"/>
      <c r="L506"/>
      <c r="M506"/>
      <c r="N506" s="46"/>
      <c r="O506"/>
      <c r="P506"/>
      <c r="Q506"/>
      <c r="R506"/>
      <c r="S506"/>
      <c r="T506"/>
      <c r="U506"/>
      <c r="V506"/>
      <c r="W506"/>
      <c r="X506"/>
      <c r="Y506"/>
      <c r="Z506"/>
      <c r="AA506"/>
      <c r="AB506" s="64"/>
      <c r="AQ506" s="47"/>
    </row>
    <row r="507" spans="4:43" ht="14.25" customHeight="1">
      <c r="D507"/>
      <c r="E507"/>
      <c r="F507"/>
      <c r="G507"/>
      <c r="H507"/>
      <c r="I507"/>
      <c r="J507"/>
      <c r="K507"/>
      <c r="L507"/>
      <c r="M507"/>
      <c r="N507" s="46"/>
      <c r="O507"/>
      <c r="P507"/>
      <c r="Q507"/>
      <c r="R507"/>
      <c r="S507"/>
      <c r="T507"/>
      <c r="U507"/>
      <c r="V507"/>
      <c r="W507"/>
      <c r="X507"/>
      <c r="Y507"/>
      <c r="Z507"/>
      <c r="AA507"/>
      <c r="AB507" s="64"/>
      <c r="AQ507" s="47"/>
    </row>
    <row r="508" spans="4:43" ht="14.25" customHeight="1">
      <c r="D508"/>
      <c r="E508"/>
      <c r="F508"/>
      <c r="G508"/>
      <c r="H508"/>
      <c r="I508"/>
      <c r="J508"/>
      <c r="K508"/>
      <c r="L508"/>
      <c r="M508"/>
      <c r="N508" s="46"/>
      <c r="O508"/>
      <c r="P508"/>
      <c r="Q508"/>
      <c r="R508"/>
      <c r="S508"/>
      <c r="T508"/>
      <c r="U508"/>
      <c r="V508"/>
      <c r="W508"/>
      <c r="X508"/>
      <c r="Y508"/>
      <c r="Z508"/>
      <c r="AA508"/>
      <c r="AB508" s="64"/>
      <c r="AQ508" s="47"/>
    </row>
    <row r="509" spans="4:43" ht="14.25" customHeight="1">
      <c r="D509"/>
      <c r="E509"/>
      <c r="F509"/>
      <c r="G509"/>
      <c r="H509"/>
      <c r="I509"/>
      <c r="J509"/>
      <c r="K509"/>
      <c r="L509"/>
      <c r="M509"/>
      <c r="N509" s="46"/>
      <c r="O509"/>
      <c r="P509"/>
      <c r="Q509"/>
      <c r="R509"/>
      <c r="S509"/>
      <c r="T509"/>
      <c r="U509"/>
      <c r="V509"/>
      <c r="W509"/>
      <c r="X509"/>
      <c r="Y509"/>
      <c r="Z509"/>
      <c r="AA509"/>
      <c r="AB509" s="64"/>
      <c r="AQ509" s="47"/>
    </row>
    <row r="510" spans="4:43" ht="14.25" customHeight="1">
      <c r="D510"/>
      <c r="E510"/>
      <c r="F510"/>
      <c r="G510"/>
      <c r="H510"/>
      <c r="I510"/>
      <c r="J510"/>
      <c r="K510"/>
      <c r="L510"/>
      <c r="M510"/>
      <c r="N510" s="46"/>
      <c r="O510"/>
      <c r="P510"/>
      <c r="Q510"/>
      <c r="R510"/>
      <c r="S510"/>
      <c r="T510"/>
      <c r="U510"/>
      <c r="V510"/>
      <c r="W510"/>
      <c r="X510"/>
      <c r="Y510"/>
      <c r="Z510"/>
      <c r="AA510"/>
      <c r="AB510" s="64"/>
      <c r="AQ510" s="47"/>
    </row>
    <row r="511" spans="4:43" ht="14.25" customHeight="1">
      <c r="D511"/>
      <c r="E511"/>
      <c r="F511"/>
      <c r="G511"/>
      <c r="H511"/>
      <c r="I511"/>
      <c r="J511"/>
      <c r="K511"/>
      <c r="L511"/>
      <c r="M511"/>
      <c r="N511" s="46"/>
      <c r="O511"/>
      <c r="P511"/>
      <c r="Q511"/>
      <c r="R511"/>
      <c r="S511"/>
      <c r="T511"/>
      <c r="U511"/>
      <c r="V511"/>
      <c r="W511"/>
      <c r="X511"/>
      <c r="Y511"/>
      <c r="Z511"/>
      <c r="AA511"/>
      <c r="AB511" s="64"/>
      <c r="AQ511" s="47"/>
    </row>
    <row r="512" spans="4:43" ht="14.25" customHeight="1">
      <c r="D512"/>
      <c r="E512"/>
      <c r="F512"/>
      <c r="G512"/>
      <c r="H512"/>
      <c r="I512"/>
      <c r="J512"/>
      <c r="K512"/>
      <c r="L512"/>
      <c r="M512"/>
      <c r="N512" s="46"/>
      <c r="O512"/>
      <c r="P512"/>
      <c r="Q512"/>
      <c r="R512"/>
      <c r="S512"/>
      <c r="T512"/>
      <c r="U512"/>
      <c r="V512"/>
      <c r="W512"/>
      <c r="X512"/>
      <c r="Y512"/>
      <c r="Z512"/>
      <c r="AA512"/>
      <c r="AB512" s="64"/>
      <c r="AQ512" s="47"/>
    </row>
    <row r="513" spans="4:43" ht="14.25" customHeight="1">
      <c r="D513"/>
      <c r="E513"/>
      <c r="F513"/>
      <c r="G513"/>
      <c r="H513"/>
      <c r="I513"/>
      <c r="J513"/>
      <c r="K513"/>
      <c r="L513"/>
      <c r="M513"/>
      <c r="N513" s="46"/>
      <c r="O513"/>
      <c r="P513"/>
      <c r="Q513"/>
      <c r="R513"/>
      <c r="S513"/>
      <c r="T513"/>
      <c r="U513"/>
      <c r="V513"/>
      <c r="W513"/>
      <c r="X513"/>
      <c r="Y513"/>
      <c r="Z513"/>
      <c r="AA513"/>
      <c r="AB513" s="64"/>
      <c r="AQ513" s="47"/>
    </row>
    <row r="514" spans="4:43" ht="14.25" customHeight="1">
      <c r="D514"/>
      <c r="E514"/>
      <c r="F514"/>
      <c r="G514"/>
      <c r="H514"/>
      <c r="I514"/>
      <c r="J514"/>
      <c r="K514"/>
      <c r="L514"/>
      <c r="M514"/>
      <c r="N514" s="46"/>
      <c r="O514"/>
      <c r="P514"/>
      <c r="Q514"/>
      <c r="R514"/>
      <c r="S514"/>
      <c r="T514"/>
      <c r="U514"/>
      <c r="V514"/>
      <c r="W514"/>
      <c r="X514"/>
      <c r="Y514"/>
      <c r="Z514"/>
      <c r="AA514"/>
      <c r="AB514" s="64"/>
      <c r="AQ514" s="47"/>
    </row>
    <row r="515" spans="4:43" ht="14.25" customHeight="1">
      <c r="D515"/>
      <c r="E515"/>
      <c r="F515"/>
      <c r="G515"/>
      <c r="H515"/>
      <c r="I515"/>
      <c r="J515"/>
      <c r="K515"/>
      <c r="L515"/>
      <c r="M515"/>
      <c r="N515" s="46"/>
      <c r="O515"/>
      <c r="P515"/>
      <c r="Q515"/>
      <c r="R515"/>
      <c r="S515"/>
      <c r="T515"/>
      <c r="U515"/>
      <c r="V515"/>
      <c r="W515"/>
      <c r="X515"/>
      <c r="Y515"/>
      <c r="Z515"/>
      <c r="AA515"/>
      <c r="AB515" s="64"/>
      <c r="AQ515" s="47"/>
    </row>
    <row r="516" spans="4:43" ht="14.25" customHeight="1">
      <c r="D516"/>
      <c r="E516"/>
      <c r="F516"/>
      <c r="G516"/>
      <c r="H516"/>
      <c r="I516"/>
      <c r="J516"/>
      <c r="K516"/>
      <c r="L516"/>
      <c r="M516"/>
      <c r="N516" s="46"/>
      <c r="O516"/>
      <c r="P516"/>
      <c r="Q516"/>
      <c r="R516"/>
      <c r="S516"/>
      <c r="T516"/>
      <c r="U516"/>
      <c r="V516"/>
      <c r="W516"/>
      <c r="X516"/>
      <c r="Y516"/>
      <c r="Z516"/>
      <c r="AA516"/>
      <c r="AB516" s="64"/>
      <c r="AQ516" s="47"/>
    </row>
    <row r="517" spans="4:43" ht="14.25" customHeight="1">
      <c r="D517"/>
      <c r="E517"/>
      <c r="F517"/>
      <c r="G517"/>
      <c r="H517"/>
      <c r="I517"/>
      <c r="J517"/>
      <c r="K517"/>
      <c r="L517"/>
      <c r="M517"/>
      <c r="N517" s="46"/>
      <c r="O517"/>
      <c r="P517"/>
      <c r="Q517"/>
      <c r="R517"/>
      <c r="S517"/>
      <c r="T517"/>
      <c r="U517"/>
      <c r="V517"/>
      <c r="W517"/>
      <c r="X517"/>
      <c r="Y517"/>
      <c r="Z517"/>
      <c r="AA517"/>
      <c r="AB517" s="64"/>
      <c r="AQ517" s="47"/>
    </row>
    <row r="518" spans="4:43" ht="14.25" customHeight="1">
      <c r="D518"/>
      <c r="E518"/>
      <c r="F518"/>
      <c r="G518"/>
      <c r="H518"/>
      <c r="I518"/>
      <c r="J518"/>
      <c r="K518"/>
      <c r="L518"/>
      <c r="M518"/>
      <c r="N518" s="46"/>
      <c r="O518"/>
      <c r="P518"/>
      <c r="Q518"/>
      <c r="R518"/>
      <c r="S518"/>
      <c r="T518"/>
      <c r="U518"/>
      <c r="V518"/>
      <c r="W518"/>
      <c r="X518"/>
      <c r="Y518"/>
      <c r="Z518"/>
      <c r="AA518"/>
      <c r="AB518" s="64"/>
      <c r="AQ518" s="47"/>
    </row>
    <row r="519" spans="4:43" ht="14.25" customHeight="1">
      <c r="D519"/>
      <c r="E519"/>
      <c r="F519"/>
      <c r="G519"/>
      <c r="H519"/>
      <c r="I519"/>
      <c r="J519"/>
      <c r="K519"/>
      <c r="L519"/>
      <c r="M519"/>
      <c r="N519" s="46"/>
      <c r="O519"/>
      <c r="P519"/>
      <c r="Q519"/>
      <c r="R519"/>
      <c r="S519"/>
      <c r="T519"/>
      <c r="U519"/>
      <c r="V519"/>
      <c r="W519"/>
      <c r="X519"/>
      <c r="Y519"/>
      <c r="Z519"/>
      <c r="AA519"/>
      <c r="AB519" s="64"/>
      <c r="AQ519" s="47"/>
    </row>
    <row r="520" spans="4:43" ht="14.25" customHeight="1">
      <c r="D520"/>
      <c r="E520"/>
      <c r="F520"/>
      <c r="G520"/>
      <c r="H520"/>
      <c r="I520"/>
      <c r="J520"/>
      <c r="K520"/>
      <c r="L520"/>
      <c r="M520"/>
      <c r="N520" s="46"/>
      <c r="O520"/>
      <c r="P520"/>
      <c r="Q520"/>
      <c r="R520"/>
      <c r="S520"/>
      <c r="T520"/>
      <c r="U520"/>
      <c r="V520"/>
      <c r="W520"/>
      <c r="X520"/>
      <c r="Y520"/>
      <c r="Z520"/>
      <c r="AA520"/>
      <c r="AB520" s="64"/>
      <c r="AQ520" s="47"/>
    </row>
    <row r="521" spans="4:43" ht="14.25" customHeight="1">
      <c r="D521"/>
      <c r="E521"/>
      <c r="F521"/>
      <c r="G521"/>
      <c r="H521"/>
      <c r="I521"/>
      <c r="J521"/>
      <c r="K521"/>
      <c r="L521"/>
      <c r="M521"/>
      <c r="N521" s="46"/>
      <c r="O521"/>
      <c r="P521"/>
      <c r="Q521"/>
      <c r="R521"/>
      <c r="S521"/>
      <c r="T521"/>
      <c r="U521"/>
      <c r="V521"/>
      <c r="W521"/>
      <c r="X521"/>
      <c r="Y521"/>
      <c r="Z521"/>
      <c r="AA521"/>
      <c r="AB521" s="64"/>
      <c r="AQ521" s="47"/>
    </row>
    <row r="522" spans="4:43" ht="14.25" customHeight="1">
      <c r="D522"/>
      <c r="E522"/>
      <c r="F522"/>
      <c r="G522"/>
      <c r="H522"/>
      <c r="I522"/>
      <c r="J522"/>
      <c r="K522"/>
      <c r="L522"/>
      <c r="M522"/>
      <c r="N522" s="46"/>
      <c r="O522"/>
      <c r="P522"/>
      <c r="Q522"/>
      <c r="R522"/>
      <c r="S522"/>
      <c r="T522"/>
      <c r="U522"/>
      <c r="V522"/>
      <c r="W522"/>
      <c r="X522"/>
      <c r="Y522"/>
      <c r="Z522"/>
      <c r="AA522"/>
      <c r="AB522" s="64"/>
      <c r="AQ522" s="47"/>
    </row>
    <row r="523" spans="4:43" ht="14.25" customHeight="1">
      <c r="D523"/>
      <c r="E523"/>
      <c r="F523"/>
      <c r="G523"/>
      <c r="H523"/>
      <c r="I523"/>
      <c r="J523"/>
      <c r="K523"/>
      <c r="L523"/>
      <c r="M523"/>
      <c r="N523" s="46"/>
      <c r="O523"/>
      <c r="P523"/>
      <c r="Q523"/>
      <c r="R523"/>
      <c r="S523"/>
      <c r="T523"/>
      <c r="U523"/>
      <c r="V523"/>
      <c r="W523"/>
      <c r="X523"/>
      <c r="Y523"/>
      <c r="Z523"/>
      <c r="AA523"/>
      <c r="AB523" s="64"/>
      <c r="AQ523" s="47"/>
    </row>
    <row r="524" spans="4:43" ht="14.25" customHeight="1">
      <c r="D524"/>
      <c r="E524"/>
      <c r="F524"/>
      <c r="G524"/>
      <c r="H524"/>
      <c r="I524"/>
      <c r="J524"/>
      <c r="K524"/>
      <c r="L524"/>
      <c r="M524"/>
      <c r="N524" s="46"/>
      <c r="O524"/>
      <c r="P524"/>
      <c r="Q524"/>
      <c r="R524"/>
      <c r="S524"/>
      <c r="T524"/>
      <c r="U524"/>
      <c r="V524"/>
      <c r="W524"/>
      <c r="X524"/>
      <c r="Y524"/>
      <c r="Z524"/>
      <c r="AA524"/>
      <c r="AB524" s="64"/>
      <c r="AQ524" s="47"/>
    </row>
    <row r="525" spans="4:43" ht="14.25" customHeight="1">
      <c r="D525"/>
      <c r="E525"/>
      <c r="F525"/>
      <c r="G525"/>
      <c r="H525"/>
      <c r="I525"/>
      <c r="J525"/>
      <c r="K525"/>
      <c r="L525"/>
      <c r="M525"/>
      <c r="N525" s="46"/>
      <c r="O525"/>
      <c r="P525"/>
      <c r="Q525"/>
      <c r="R525"/>
      <c r="S525"/>
      <c r="T525"/>
      <c r="U525"/>
      <c r="V525"/>
      <c r="W525"/>
      <c r="X525"/>
      <c r="Y525"/>
      <c r="Z525"/>
      <c r="AA525"/>
      <c r="AB525" s="64"/>
      <c r="AQ525" s="47"/>
    </row>
    <row r="526" spans="4:43" ht="14.25" customHeight="1">
      <c r="D526"/>
      <c r="E526"/>
      <c r="F526"/>
      <c r="G526"/>
      <c r="H526"/>
      <c r="I526"/>
      <c r="J526"/>
      <c r="K526"/>
      <c r="L526"/>
      <c r="M526"/>
      <c r="N526" s="46"/>
      <c r="O526"/>
      <c r="P526"/>
      <c r="Q526"/>
      <c r="R526"/>
      <c r="S526"/>
      <c r="T526"/>
      <c r="U526"/>
      <c r="V526"/>
      <c r="W526"/>
      <c r="X526"/>
      <c r="Y526"/>
      <c r="Z526"/>
      <c r="AA526"/>
      <c r="AB526" s="64"/>
      <c r="AQ526" s="47"/>
    </row>
    <row r="527" spans="4:43" ht="14.25" customHeight="1">
      <c r="D527"/>
      <c r="E527"/>
      <c r="F527"/>
      <c r="G527"/>
      <c r="H527"/>
      <c r="I527"/>
      <c r="J527"/>
      <c r="K527"/>
      <c r="L527"/>
      <c r="M527"/>
      <c r="N527" s="46"/>
      <c r="O527"/>
      <c r="P527"/>
      <c r="Q527"/>
      <c r="R527"/>
      <c r="S527"/>
      <c r="T527"/>
      <c r="U527"/>
      <c r="V527"/>
      <c r="W527"/>
      <c r="X527"/>
      <c r="Y527"/>
      <c r="Z527"/>
      <c r="AA527"/>
      <c r="AB527" s="64"/>
      <c r="AQ527" s="47"/>
    </row>
    <row r="528" spans="4:43" ht="14.25" customHeight="1">
      <c r="D528"/>
      <c r="E528"/>
      <c r="F528"/>
      <c r="G528"/>
      <c r="H528"/>
      <c r="I528"/>
      <c r="J528"/>
      <c r="K528"/>
      <c r="L528"/>
      <c r="M528"/>
      <c r="N528" s="46"/>
      <c r="O528"/>
      <c r="P528"/>
      <c r="Q528"/>
      <c r="R528"/>
      <c r="S528"/>
      <c r="T528"/>
      <c r="U528"/>
      <c r="V528"/>
      <c r="W528"/>
      <c r="X528"/>
      <c r="Y528"/>
      <c r="Z528"/>
      <c r="AA528"/>
      <c r="AB528" s="64"/>
      <c r="AQ528" s="47"/>
    </row>
    <row r="529" spans="4:43" ht="14.25" customHeight="1">
      <c r="D529"/>
      <c r="E529"/>
      <c r="F529"/>
      <c r="G529"/>
      <c r="H529"/>
      <c r="I529"/>
      <c r="J529"/>
      <c r="K529"/>
      <c r="L529"/>
      <c r="M529"/>
      <c r="N529" s="46"/>
      <c r="O529"/>
      <c r="P529"/>
      <c r="Q529"/>
      <c r="R529"/>
      <c r="S529"/>
      <c r="T529"/>
      <c r="U529"/>
      <c r="V529"/>
      <c r="W529"/>
      <c r="X529"/>
      <c r="Y529"/>
      <c r="Z529"/>
      <c r="AA529"/>
      <c r="AB529" s="64"/>
      <c r="AQ529" s="47"/>
    </row>
    <row r="530" spans="4:43" ht="14.25" customHeight="1">
      <c r="D530"/>
      <c r="E530"/>
      <c r="F530"/>
      <c r="G530"/>
      <c r="H530"/>
      <c r="I530"/>
      <c r="J530"/>
      <c r="K530"/>
      <c r="L530"/>
      <c r="M530"/>
      <c r="N530" s="46"/>
      <c r="O530"/>
      <c r="P530"/>
      <c r="Q530"/>
      <c r="R530"/>
      <c r="S530"/>
      <c r="T530"/>
      <c r="U530"/>
      <c r="V530"/>
      <c r="W530"/>
      <c r="X530"/>
      <c r="Y530"/>
      <c r="Z530"/>
      <c r="AA530"/>
      <c r="AB530" s="64"/>
      <c r="AQ530" s="47"/>
    </row>
    <row r="531" spans="4:43" ht="14.25" customHeight="1">
      <c r="D531"/>
      <c r="E531"/>
      <c r="F531"/>
      <c r="G531"/>
      <c r="H531"/>
      <c r="I531"/>
      <c r="J531"/>
      <c r="K531"/>
      <c r="L531"/>
      <c r="M531"/>
      <c r="N531" s="46"/>
      <c r="O531"/>
      <c r="P531"/>
      <c r="Q531"/>
      <c r="R531"/>
      <c r="S531"/>
      <c r="T531"/>
      <c r="U531"/>
      <c r="V531"/>
      <c r="W531"/>
      <c r="X531"/>
      <c r="Y531"/>
      <c r="Z531"/>
      <c r="AA531"/>
      <c r="AB531" s="64"/>
      <c r="AQ531" s="47"/>
    </row>
    <row r="532" spans="4:43" ht="14.25" customHeight="1">
      <c r="D532"/>
      <c r="E532"/>
      <c r="F532"/>
      <c r="G532"/>
      <c r="H532"/>
      <c r="I532"/>
      <c r="J532"/>
      <c r="K532"/>
      <c r="L532"/>
      <c r="M532"/>
      <c r="N532" s="46"/>
      <c r="O532"/>
      <c r="P532"/>
      <c r="Q532"/>
      <c r="R532"/>
      <c r="S532"/>
      <c r="T532"/>
      <c r="U532"/>
      <c r="V532"/>
      <c r="W532"/>
      <c r="X532"/>
      <c r="Y532"/>
      <c r="Z532"/>
      <c r="AA532"/>
      <c r="AB532" s="64"/>
      <c r="AQ532" s="47"/>
    </row>
    <row r="533" spans="4:43" ht="14.25" customHeight="1">
      <c r="D533"/>
      <c r="E533"/>
      <c r="F533"/>
      <c r="G533"/>
      <c r="H533"/>
      <c r="I533"/>
      <c r="J533"/>
      <c r="K533"/>
      <c r="L533"/>
      <c r="M533"/>
      <c r="N533" s="46"/>
      <c r="O533"/>
      <c r="P533"/>
      <c r="Q533"/>
      <c r="R533"/>
      <c r="S533"/>
      <c r="T533"/>
      <c r="U533"/>
      <c r="V533"/>
      <c r="W533"/>
      <c r="X533"/>
      <c r="Y533"/>
      <c r="Z533"/>
      <c r="AA533"/>
      <c r="AB533" s="64"/>
      <c r="AQ533" s="47"/>
    </row>
    <row r="534" spans="4:43" ht="14.25" customHeight="1">
      <c r="D534"/>
      <c r="E534"/>
      <c r="F534"/>
      <c r="G534"/>
      <c r="H534"/>
      <c r="I534"/>
      <c r="J534"/>
      <c r="K534"/>
      <c r="L534"/>
      <c r="M534"/>
      <c r="N534" s="46"/>
      <c r="O534"/>
      <c r="P534"/>
      <c r="Q534"/>
      <c r="R534"/>
      <c r="S534"/>
      <c r="T534"/>
      <c r="U534"/>
      <c r="V534"/>
      <c r="W534"/>
      <c r="X534"/>
      <c r="Y534"/>
      <c r="Z534"/>
      <c r="AA534"/>
      <c r="AB534" s="64"/>
      <c r="AQ534" s="47"/>
    </row>
    <row r="535" spans="4:43" ht="14.25" customHeight="1">
      <c r="D535"/>
      <c r="E535"/>
      <c r="F535"/>
      <c r="G535"/>
      <c r="H535"/>
      <c r="I535"/>
      <c r="J535"/>
      <c r="K535"/>
      <c r="L535"/>
      <c r="M535"/>
      <c r="N535" s="46"/>
      <c r="O535"/>
      <c r="P535"/>
      <c r="Q535"/>
      <c r="R535"/>
      <c r="S535"/>
      <c r="T535"/>
      <c r="U535"/>
      <c r="V535"/>
      <c r="W535"/>
      <c r="X535"/>
      <c r="Y535"/>
      <c r="Z535"/>
      <c r="AA535"/>
      <c r="AB535" s="64"/>
      <c r="AQ535" s="47"/>
    </row>
    <row r="536" spans="4:43" ht="14.25" customHeight="1">
      <c r="D536"/>
      <c r="E536"/>
      <c r="F536"/>
      <c r="G536"/>
      <c r="H536"/>
      <c r="I536"/>
      <c r="J536"/>
      <c r="K536"/>
      <c r="L536"/>
      <c r="M536"/>
      <c r="N536" s="46"/>
      <c r="O536"/>
      <c r="P536"/>
      <c r="Q536"/>
      <c r="R536"/>
      <c r="S536"/>
      <c r="T536"/>
      <c r="U536"/>
      <c r="V536"/>
      <c r="W536"/>
      <c r="X536"/>
      <c r="Y536"/>
      <c r="Z536"/>
      <c r="AA536"/>
      <c r="AB536" s="64"/>
      <c r="AQ536" s="47"/>
    </row>
    <row r="537" spans="4:43" ht="14.25" customHeight="1">
      <c r="D537"/>
      <c r="E537"/>
      <c r="F537"/>
      <c r="G537"/>
      <c r="H537"/>
      <c r="I537"/>
      <c r="J537"/>
      <c r="K537"/>
      <c r="L537"/>
      <c r="M537"/>
      <c r="N537" s="46"/>
      <c r="O537"/>
      <c r="P537"/>
      <c r="Q537"/>
      <c r="R537"/>
      <c r="S537"/>
      <c r="T537"/>
      <c r="U537"/>
      <c r="V537"/>
      <c r="W537"/>
      <c r="X537"/>
      <c r="Y537"/>
      <c r="Z537"/>
      <c r="AA537"/>
      <c r="AB537" s="64"/>
      <c r="AQ537" s="47"/>
    </row>
    <row r="538" spans="4:43" ht="14.25" customHeight="1">
      <c r="D538"/>
      <c r="E538"/>
      <c r="F538"/>
      <c r="G538"/>
      <c r="H538"/>
      <c r="I538"/>
      <c r="J538"/>
      <c r="K538"/>
      <c r="L538"/>
      <c r="M538"/>
      <c r="N538" s="46"/>
      <c r="O538"/>
      <c r="P538"/>
      <c r="Q538"/>
      <c r="R538"/>
      <c r="S538"/>
      <c r="T538"/>
      <c r="U538"/>
      <c r="V538"/>
      <c r="W538"/>
      <c r="X538"/>
      <c r="Y538"/>
      <c r="Z538"/>
      <c r="AA538"/>
      <c r="AB538" s="64"/>
      <c r="AQ538" s="47"/>
    </row>
    <row r="539" spans="4:43" ht="14.25" customHeight="1">
      <c r="D539"/>
      <c r="E539"/>
      <c r="F539"/>
      <c r="G539"/>
      <c r="H539"/>
      <c r="I539"/>
      <c r="J539"/>
      <c r="K539"/>
      <c r="L539"/>
      <c r="M539"/>
      <c r="N539" s="46"/>
      <c r="O539"/>
      <c r="P539"/>
      <c r="Q539"/>
      <c r="R539"/>
      <c r="S539"/>
      <c r="T539"/>
      <c r="U539"/>
      <c r="V539"/>
      <c r="W539"/>
      <c r="X539"/>
      <c r="Y539"/>
      <c r="Z539"/>
      <c r="AA539"/>
      <c r="AB539" s="64"/>
      <c r="AQ539" s="47"/>
    </row>
    <row r="540" spans="4:43" ht="14.25" customHeight="1">
      <c r="D540"/>
      <c r="E540"/>
      <c r="F540"/>
      <c r="G540"/>
      <c r="H540"/>
      <c r="I540"/>
      <c r="J540"/>
      <c r="K540"/>
      <c r="L540"/>
      <c r="M540"/>
      <c r="N540" s="46"/>
      <c r="O540"/>
      <c r="P540"/>
      <c r="Q540"/>
      <c r="R540"/>
      <c r="S540"/>
      <c r="T540"/>
      <c r="U540"/>
      <c r="V540"/>
      <c r="W540"/>
      <c r="X540"/>
      <c r="Y540"/>
      <c r="Z540"/>
      <c r="AA540"/>
      <c r="AB540" s="64"/>
      <c r="AQ540" s="47"/>
    </row>
    <row r="541" spans="4:43" ht="14.25" customHeight="1">
      <c r="D541"/>
      <c r="E541"/>
      <c r="F541"/>
      <c r="G541"/>
      <c r="H541"/>
      <c r="I541"/>
      <c r="J541"/>
      <c r="K541"/>
      <c r="L541"/>
      <c r="M541"/>
      <c r="N541" s="46"/>
      <c r="O541"/>
      <c r="P541"/>
      <c r="Q541"/>
      <c r="R541"/>
      <c r="S541"/>
      <c r="T541"/>
      <c r="U541"/>
      <c r="V541"/>
      <c r="W541"/>
      <c r="X541"/>
      <c r="Y541"/>
      <c r="Z541"/>
      <c r="AA541"/>
      <c r="AB541" s="64"/>
      <c r="AQ541" s="47"/>
    </row>
    <row r="542" spans="4:43" ht="14.25" customHeight="1">
      <c r="D542"/>
      <c r="E542"/>
      <c r="F542"/>
      <c r="G542"/>
      <c r="H542"/>
      <c r="I542"/>
      <c r="J542"/>
      <c r="K542"/>
      <c r="L542"/>
      <c r="M542"/>
      <c r="N542" s="46"/>
      <c r="O542"/>
      <c r="P542"/>
      <c r="Q542"/>
      <c r="R542"/>
      <c r="S542"/>
      <c r="T542"/>
      <c r="U542"/>
      <c r="V542"/>
      <c r="W542"/>
      <c r="X542"/>
      <c r="Y542"/>
      <c r="Z542"/>
      <c r="AA542"/>
      <c r="AB542" s="64"/>
      <c r="AQ542" s="47"/>
    </row>
    <row r="543" spans="4:43" ht="14.25" customHeight="1">
      <c r="D543"/>
      <c r="E543"/>
      <c r="F543"/>
      <c r="G543"/>
      <c r="H543"/>
      <c r="I543"/>
      <c r="J543"/>
      <c r="K543"/>
      <c r="L543"/>
      <c r="M543"/>
      <c r="N543" s="46"/>
      <c r="O543"/>
      <c r="P543"/>
      <c r="Q543"/>
      <c r="R543"/>
      <c r="S543"/>
      <c r="T543"/>
      <c r="U543"/>
      <c r="V543"/>
      <c r="W543"/>
      <c r="X543"/>
      <c r="Y543"/>
      <c r="Z543"/>
      <c r="AA543"/>
      <c r="AB543" s="64"/>
      <c r="AQ543" s="47"/>
    </row>
    <row r="544" spans="4:43" ht="14.25" customHeight="1">
      <c r="D544"/>
      <c r="E544"/>
      <c r="F544"/>
      <c r="G544"/>
      <c r="H544"/>
      <c r="I544"/>
      <c r="J544"/>
      <c r="K544"/>
      <c r="L544"/>
      <c r="M544"/>
      <c r="N544" s="46"/>
      <c r="O544"/>
      <c r="P544"/>
      <c r="Q544"/>
      <c r="R544"/>
      <c r="S544"/>
      <c r="T544"/>
      <c r="U544"/>
      <c r="V544"/>
      <c r="W544"/>
      <c r="X544"/>
      <c r="Y544"/>
      <c r="Z544"/>
      <c r="AA544"/>
      <c r="AB544" s="64"/>
      <c r="AQ544" s="47"/>
    </row>
    <row r="545" spans="4:43" ht="14.25" customHeight="1">
      <c r="D545"/>
      <c r="E545"/>
      <c r="F545"/>
      <c r="G545"/>
      <c r="H545"/>
      <c r="I545"/>
      <c r="J545"/>
      <c r="K545"/>
      <c r="L545"/>
      <c r="M545"/>
      <c r="N545" s="46"/>
      <c r="O545"/>
      <c r="P545"/>
      <c r="Q545"/>
      <c r="R545"/>
      <c r="S545"/>
      <c r="T545"/>
      <c r="U545"/>
      <c r="V545"/>
      <c r="W545"/>
      <c r="X545"/>
      <c r="Y545"/>
      <c r="Z545"/>
      <c r="AA545"/>
      <c r="AB545" s="64"/>
      <c r="AQ545" s="47"/>
    </row>
    <row r="546" spans="4:43" ht="14.25" customHeight="1">
      <c r="D546"/>
      <c r="E546"/>
      <c r="F546"/>
      <c r="G546"/>
      <c r="H546"/>
      <c r="I546"/>
      <c r="J546"/>
      <c r="K546"/>
      <c r="L546"/>
      <c r="M546"/>
      <c r="N546" s="46"/>
      <c r="O546"/>
      <c r="P546"/>
      <c r="Q546"/>
      <c r="R546"/>
      <c r="S546"/>
      <c r="T546"/>
      <c r="U546"/>
      <c r="V546"/>
      <c r="W546"/>
      <c r="X546"/>
      <c r="Y546"/>
      <c r="Z546"/>
      <c r="AA546"/>
      <c r="AB546" s="64"/>
      <c r="AQ546" s="47"/>
    </row>
    <row r="547" spans="4:43" ht="14.25" customHeight="1">
      <c r="D547"/>
      <c r="E547"/>
      <c r="F547"/>
      <c r="G547"/>
      <c r="H547"/>
      <c r="I547"/>
      <c r="J547"/>
      <c r="K547"/>
      <c r="L547"/>
      <c r="M547"/>
      <c r="N547" s="46"/>
      <c r="O547"/>
      <c r="P547"/>
      <c r="Q547"/>
      <c r="R547"/>
      <c r="S547"/>
      <c r="T547"/>
      <c r="U547"/>
      <c r="V547"/>
      <c r="W547"/>
      <c r="X547"/>
      <c r="Y547"/>
      <c r="Z547"/>
      <c r="AA547"/>
      <c r="AB547" s="64"/>
      <c r="AQ547" s="47"/>
    </row>
    <row r="548" spans="4:43" ht="14.25" customHeight="1">
      <c r="D548"/>
      <c r="E548"/>
      <c r="F548"/>
      <c r="G548"/>
      <c r="H548"/>
      <c r="I548"/>
      <c r="J548"/>
      <c r="K548"/>
      <c r="L548"/>
      <c r="M548"/>
      <c r="N548" s="46"/>
      <c r="O548"/>
      <c r="P548"/>
      <c r="Q548"/>
      <c r="R548"/>
      <c r="S548"/>
      <c r="T548"/>
      <c r="U548"/>
      <c r="V548"/>
      <c r="W548"/>
      <c r="X548"/>
      <c r="Y548"/>
      <c r="Z548"/>
      <c r="AA548"/>
      <c r="AB548" s="64"/>
      <c r="AQ548" s="47"/>
    </row>
    <row r="549" spans="4:43" ht="14.25" customHeight="1">
      <c r="D549"/>
      <c r="E549"/>
      <c r="F549"/>
      <c r="G549"/>
      <c r="H549"/>
      <c r="I549"/>
      <c r="J549"/>
      <c r="K549"/>
      <c r="L549"/>
      <c r="M549"/>
      <c r="N549" s="46"/>
      <c r="O549"/>
      <c r="P549"/>
      <c r="Q549"/>
      <c r="R549"/>
      <c r="S549"/>
      <c r="T549"/>
      <c r="U549"/>
      <c r="V549"/>
      <c r="W549"/>
      <c r="X549"/>
      <c r="Y549"/>
      <c r="Z549"/>
      <c r="AA549"/>
      <c r="AB549" s="64"/>
      <c r="AQ549" s="47"/>
    </row>
    <row r="550" spans="4:43" ht="14.25" customHeight="1">
      <c r="D550"/>
      <c r="E550"/>
      <c r="F550"/>
      <c r="G550"/>
      <c r="H550"/>
      <c r="I550"/>
      <c r="J550"/>
      <c r="K550"/>
      <c r="L550"/>
      <c r="M550"/>
      <c r="N550" s="46"/>
      <c r="O550"/>
      <c r="P550"/>
      <c r="Q550"/>
      <c r="R550"/>
      <c r="S550"/>
      <c r="T550"/>
      <c r="U550"/>
      <c r="V550"/>
      <c r="W550"/>
      <c r="X550"/>
      <c r="Y550"/>
      <c r="Z550"/>
      <c r="AA550"/>
      <c r="AB550" s="64"/>
      <c r="AQ550" s="47"/>
    </row>
    <row r="551" spans="4:43" ht="14.25" customHeight="1">
      <c r="D551"/>
      <c r="E551"/>
      <c r="F551"/>
      <c r="G551"/>
      <c r="H551"/>
      <c r="I551"/>
      <c r="J551"/>
      <c r="K551"/>
      <c r="L551"/>
      <c r="M551"/>
      <c r="N551" s="46"/>
      <c r="O551"/>
      <c r="P551"/>
      <c r="Q551"/>
      <c r="R551"/>
      <c r="S551"/>
      <c r="T551"/>
      <c r="U551"/>
      <c r="V551"/>
      <c r="W551"/>
      <c r="X551"/>
      <c r="Y551"/>
      <c r="Z551"/>
      <c r="AA551"/>
      <c r="AB551" s="64"/>
      <c r="AQ551" s="47"/>
    </row>
    <row r="552" spans="4:43" ht="14.25" customHeight="1">
      <c r="D552"/>
      <c r="E552"/>
      <c r="F552"/>
      <c r="G552"/>
      <c r="H552"/>
      <c r="I552"/>
      <c r="J552"/>
      <c r="K552"/>
      <c r="L552"/>
      <c r="M552"/>
      <c r="N552" s="46"/>
      <c r="O552"/>
      <c r="P552"/>
      <c r="Q552"/>
      <c r="R552"/>
      <c r="S552"/>
      <c r="T552"/>
      <c r="U552"/>
      <c r="V552"/>
      <c r="W552"/>
      <c r="X552"/>
      <c r="Y552"/>
      <c r="Z552"/>
      <c r="AA552"/>
      <c r="AB552" s="64"/>
      <c r="AQ552" s="47"/>
    </row>
    <row r="553" spans="4:43" ht="14.25" customHeight="1">
      <c r="D553"/>
      <c r="E553"/>
      <c r="F553"/>
      <c r="G553"/>
      <c r="H553"/>
      <c r="I553"/>
      <c r="J553"/>
      <c r="K553"/>
      <c r="L553"/>
      <c r="M553"/>
      <c r="N553" s="46"/>
      <c r="O553"/>
      <c r="P553"/>
      <c r="Q553"/>
      <c r="R553"/>
      <c r="S553"/>
      <c r="T553"/>
      <c r="U553"/>
      <c r="V553"/>
      <c r="W553"/>
      <c r="X553"/>
      <c r="Y553"/>
      <c r="Z553"/>
      <c r="AA553"/>
      <c r="AB553" s="64"/>
      <c r="AQ553" s="47"/>
    </row>
    <row r="554" spans="4:43" ht="14.25" customHeight="1">
      <c r="D554"/>
      <c r="E554"/>
      <c r="F554"/>
      <c r="G554"/>
      <c r="H554"/>
      <c r="I554"/>
      <c r="J554"/>
      <c r="K554"/>
      <c r="L554"/>
      <c r="M554"/>
      <c r="N554" s="46"/>
      <c r="O554"/>
      <c r="P554"/>
      <c r="Q554"/>
      <c r="R554"/>
      <c r="S554"/>
      <c r="T554"/>
      <c r="U554"/>
      <c r="V554"/>
      <c r="W554"/>
      <c r="X554"/>
      <c r="Y554"/>
      <c r="Z554"/>
      <c r="AA554"/>
      <c r="AB554" s="64"/>
      <c r="AQ554" s="47"/>
    </row>
    <row r="555" spans="4:43" ht="14.25" customHeight="1">
      <c r="D555"/>
      <c r="E555"/>
      <c r="F555"/>
      <c r="G555"/>
      <c r="H555"/>
      <c r="I555"/>
      <c r="J555"/>
      <c r="K555"/>
      <c r="L555"/>
      <c r="M555"/>
      <c r="N555" s="46"/>
      <c r="O555"/>
      <c r="P555"/>
      <c r="Q555"/>
      <c r="R555"/>
      <c r="S555"/>
      <c r="T555"/>
      <c r="U555"/>
      <c r="V555"/>
      <c r="W555"/>
      <c r="X555"/>
      <c r="Y555"/>
      <c r="Z555"/>
      <c r="AA555"/>
      <c r="AB555" s="64"/>
      <c r="AQ555" s="47"/>
    </row>
    <row r="556" spans="4:43" ht="14.25" customHeight="1">
      <c r="D556"/>
      <c r="E556"/>
      <c r="F556"/>
      <c r="G556"/>
      <c r="H556"/>
      <c r="I556"/>
      <c r="J556"/>
      <c r="K556"/>
      <c r="L556"/>
      <c r="M556"/>
      <c r="N556" s="46"/>
      <c r="O556"/>
      <c r="P556"/>
      <c r="Q556"/>
      <c r="R556"/>
      <c r="S556"/>
      <c r="T556"/>
      <c r="U556"/>
      <c r="V556"/>
      <c r="W556"/>
      <c r="X556"/>
      <c r="Y556"/>
      <c r="Z556"/>
      <c r="AA556"/>
      <c r="AB556" s="64"/>
      <c r="AQ556" s="47"/>
    </row>
    <row r="557" spans="4:43" ht="14.25" customHeight="1">
      <c r="D557"/>
      <c r="E557"/>
      <c r="F557"/>
      <c r="G557"/>
      <c r="H557"/>
      <c r="I557"/>
      <c r="J557"/>
      <c r="K557"/>
      <c r="L557"/>
      <c r="M557"/>
      <c r="N557" s="46"/>
      <c r="O557"/>
      <c r="P557"/>
      <c r="Q557"/>
      <c r="R557"/>
      <c r="S557"/>
      <c r="T557"/>
      <c r="U557"/>
      <c r="V557"/>
      <c r="W557"/>
      <c r="X557"/>
      <c r="Y557"/>
      <c r="Z557"/>
      <c r="AA557"/>
      <c r="AB557" s="64"/>
      <c r="AQ557" s="47"/>
    </row>
    <row r="558" spans="4:43" ht="14.25" customHeight="1">
      <c r="D558"/>
      <c r="E558"/>
      <c r="F558"/>
      <c r="G558"/>
      <c r="H558"/>
      <c r="I558"/>
      <c r="J558"/>
      <c r="K558"/>
      <c r="L558"/>
      <c r="M558"/>
      <c r="N558" s="46"/>
      <c r="O558"/>
      <c r="P558"/>
      <c r="Q558"/>
      <c r="R558"/>
      <c r="S558"/>
      <c r="T558"/>
      <c r="U558"/>
      <c r="V558"/>
      <c r="W558"/>
      <c r="X558"/>
      <c r="Y558"/>
      <c r="Z558"/>
      <c r="AA558"/>
      <c r="AB558" s="64"/>
      <c r="AQ558" s="47"/>
    </row>
    <row r="559" spans="4:43" ht="14.25" customHeight="1">
      <c r="D559"/>
      <c r="E559"/>
      <c r="F559"/>
      <c r="G559"/>
      <c r="H559"/>
      <c r="I559"/>
      <c r="J559"/>
      <c r="K559"/>
      <c r="L559"/>
      <c r="M559"/>
      <c r="N559" s="46"/>
      <c r="O559"/>
      <c r="P559"/>
      <c r="Q559"/>
      <c r="R559"/>
      <c r="S559"/>
      <c r="T559"/>
      <c r="U559"/>
      <c r="V559"/>
      <c r="W559"/>
      <c r="X559"/>
      <c r="Y559"/>
      <c r="Z559"/>
      <c r="AA559"/>
      <c r="AB559" s="64"/>
      <c r="AQ559" s="47"/>
    </row>
    <row r="560" spans="4:43" ht="14.25" customHeight="1">
      <c r="D560"/>
      <c r="E560"/>
      <c r="F560"/>
      <c r="G560"/>
      <c r="H560"/>
      <c r="I560"/>
      <c r="J560"/>
      <c r="K560"/>
      <c r="L560"/>
      <c r="M560"/>
      <c r="N560" s="46"/>
      <c r="O560"/>
      <c r="P560"/>
      <c r="Q560"/>
      <c r="R560"/>
      <c r="S560"/>
      <c r="T560"/>
      <c r="U560"/>
      <c r="V560"/>
      <c r="W560"/>
      <c r="X560"/>
      <c r="Y560"/>
      <c r="Z560"/>
      <c r="AA560"/>
      <c r="AB560" s="64"/>
      <c r="AQ560" s="47"/>
    </row>
    <row r="561" spans="4:43" ht="14.25" customHeight="1">
      <c r="D561"/>
      <c r="E561"/>
      <c r="F561"/>
      <c r="G561"/>
      <c r="H561"/>
      <c r="I561"/>
      <c r="J561"/>
      <c r="K561"/>
      <c r="L561"/>
      <c r="M561"/>
      <c r="N561" s="46"/>
      <c r="O561"/>
      <c r="P561"/>
      <c r="Q561"/>
      <c r="R561"/>
      <c r="S561"/>
      <c r="T561"/>
      <c r="U561"/>
      <c r="V561"/>
      <c r="W561"/>
      <c r="X561"/>
      <c r="Y561"/>
      <c r="Z561"/>
      <c r="AA561"/>
      <c r="AB561" s="64"/>
      <c r="AQ561" s="47"/>
    </row>
    <row r="562" spans="4:43" ht="14.25" customHeight="1">
      <c r="D562"/>
      <c r="E562"/>
      <c r="F562"/>
      <c r="G562"/>
      <c r="H562"/>
      <c r="I562"/>
      <c r="J562"/>
      <c r="K562"/>
      <c r="L562"/>
      <c r="M562"/>
      <c r="N562" s="46"/>
      <c r="O562"/>
      <c r="P562"/>
      <c r="Q562"/>
      <c r="R562"/>
      <c r="S562"/>
      <c r="T562"/>
      <c r="U562"/>
      <c r="V562"/>
      <c r="W562"/>
      <c r="X562"/>
      <c r="Y562"/>
      <c r="Z562"/>
      <c r="AA562"/>
      <c r="AB562" s="64"/>
      <c r="AQ562" s="47"/>
    </row>
    <row r="563" spans="4:43" ht="14.25" customHeight="1">
      <c r="D563"/>
      <c r="E563"/>
      <c r="F563"/>
      <c r="G563"/>
      <c r="H563"/>
      <c r="I563"/>
      <c r="J563"/>
      <c r="K563"/>
      <c r="L563"/>
      <c r="M563"/>
      <c r="N563" s="46"/>
      <c r="O563"/>
      <c r="P563"/>
      <c r="Q563"/>
      <c r="R563"/>
      <c r="S563"/>
      <c r="T563"/>
      <c r="U563"/>
      <c r="V563"/>
      <c r="W563"/>
      <c r="X563"/>
      <c r="Y563"/>
      <c r="Z563"/>
      <c r="AA563"/>
      <c r="AB563" s="64"/>
      <c r="AQ563" s="47"/>
    </row>
    <row r="564" spans="4:43" ht="14.25" customHeight="1">
      <c r="D564"/>
      <c r="E564"/>
      <c r="F564"/>
      <c r="G564"/>
      <c r="H564"/>
      <c r="I564"/>
      <c r="J564"/>
      <c r="K564"/>
      <c r="L564"/>
      <c r="M564"/>
      <c r="N564" s="46"/>
      <c r="O564"/>
      <c r="P564"/>
      <c r="Q564"/>
      <c r="R564"/>
      <c r="S564"/>
      <c r="T564"/>
      <c r="U564"/>
      <c r="V564"/>
      <c r="W564"/>
      <c r="X564"/>
      <c r="Y564"/>
      <c r="Z564"/>
      <c r="AA564"/>
      <c r="AB564" s="64"/>
      <c r="AQ564" s="47"/>
    </row>
    <row r="565" spans="4:43" ht="14.25" customHeight="1">
      <c r="D565"/>
      <c r="E565"/>
      <c r="F565"/>
      <c r="G565"/>
      <c r="H565"/>
      <c r="I565"/>
      <c r="J565"/>
      <c r="K565"/>
      <c r="L565"/>
      <c r="M565"/>
      <c r="N565" s="46"/>
      <c r="O565"/>
      <c r="P565"/>
      <c r="Q565"/>
      <c r="R565"/>
      <c r="S565"/>
      <c r="T565"/>
      <c r="U565"/>
      <c r="V565"/>
      <c r="W565"/>
      <c r="X565"/>
      <c r="Y565"/>
      <c r="Z565"/>
      <c r="AA565"/>
      <c r="AB565" s="64"/>
      <c r="AQ565" s="47"/>
    </row>
    <row r="566" spans="4:43" ht="14.25" customHeight="1">
      <c r="D566"/>
      <c r="E566"/>
      <c r="F566"/>
      <c r="G566"/>
      <c r="H566"/>
      <c r="I566"/>
      <c r="J566"/>
      <c r="K566"/>
      <c r="L566"/>
      <c r="M566"/>
      <c r="N566" s="46"/>
      <c r="O566"/>
      <c r="P566"/>
      <c r="Q566"/>
      <c r="R566"/>
      <c r="S566"/>
      <c r="T566"/>
      <c r="U566"/>
      <c r="V566"/>
      <c r="W566"/>
      <c r="X566"/>
      <c r="Y566"/>
      <c r="Z566"/>
      <c r="AA566"/>
      <c r="AB566" s="64"/>
      <c r="AQ566" s="47"/>
    </row>
    <row r="567" spans="4:43" ht="14.25" customHeight="1">
      <c r="D567"/>
      <c r="E567"/>
      <c r="F567"/>
      <c r="G567"/>
      <c r="H567"/>
      <c r="I567"/>
      <c r="J567"/>
      <c r="K567"/>
      <c r="L567"/>
      <c r="M567"/>
      <c r="N567" s="46"/>
      <c r="O567"/>
      <c r="P567"/>
      <c r="Q567"/>
      <c r="R567"/>
      <c r="S567"/>
      <c r="T567"/>
      <c r="U567"/>
      <c r="V567"/>
      <c r="W567"/>
      <c r="X567"/>
      <c r="Y567"/>
      <c r="Z567"/>
      <c r="AA567"/>
      <c r="AB567" s="64"/>
      <c r="AQ567" s="47"/>
    </row>
    <row r="568" spans="4:43" ht="14.25" customHeight="1">
      <c r="D568"/>
      <c r="E568"/>
      <c r="F568"/>
      <c r="G568"/>
      <c r="H568"/>
      <c r="I568"/>
      <c r="J568"/>
      <c r="K568"/>
      <c r="L568"/>
      <c r="M568"/>
      <c r="N568" s="46"/>
      <c r="O568"/>
      <c r="P568"/>
      <c r="Q568"/>
      <c r="R568"/>
      <c r="S568"/>
      <c r="T568"/>
      <c r="U568"/>
      <c r="V568"/>
      <c r="W568"/>
      <c r="X568"/>
      <c r="Y568"/>
      <c r="Z568"/>
      <c r="AA568"/>
      <c r="AB568" s="64"/>
      <c r="AQ568" s="47"/>
    </row>
    <row r="569" spans="4:43" ht="14.25" customHeight="1">
      <c r="D569"/>
      <c r="E569"/>
      <c r="F569"/>
      <c r="G569"/>
      <c r="H569"/>
      <c r="I569"/>
      <c r="J569"/>
      <c r="K569"/>
      <c r="L569"/>
      <c r="M569"/>
      <c r="N569" s="46"/>
      <c r="O569"/>
      <c r="P569"/>
      <c r="Q569"/>
      <c r="R569"/>
      <c r="S569"/>
      <c r="T569"/>
      <c r="U569"/>
      <c r="V569"/>
      <c r="W569"/>
      <c r="X569"/>
      <c r="Y569"/>
      <c r="Z569"/>
      <c r="AA569"/>
      <c r="AB569" s="64"/>
      <c r="AQ569" s="47"/>
    </row>
    <row r="570" spans="4:43" ht="14.25" customHeight="1">
      <c r="D570"/>
      <c r="E570"/>
      <c r="F570"/>
      <c r="G570"/>
      <c r="H570"/>
      <c r="I570"/>
      <c r="J570"/>
      <c r="K570"/>
      <c r="L570"/>
      <c r="M570"/>
      <c r="N570" s="46"/>
      <c r="O570"/>
      <c r="P570"/>
      <c r="Q570"/>
      <c r="R570"/>
      <c r="S570"/>
      <c r="T570"/>
      <c r="U570"/>
      <c r="V570"/>
      <c r="W570"/>
      <c r="X570"/>
      <c r="Y570"/>
      <c r="Z570"/>
      <c r="AA570"/>
      <c r="AB570" s="64"/>
      <c r="AQ570" s="47"/>
    </row>
    <row r="571" spans="4:43" ht="14.25" customHeight="1">
      <c r="D571"/>
      <c r="E571"/>
      <c r="F571"/>
      <c r="G571"/>
      <c r="H571"/>
      <c r="I571"/>
      <c r="J571"/>
      <c r="K571"/>
      <c r="L571"/>
      <c r="M571"/>
      <c r="N571" s="46"/>
      <c r="O571"/>
      <c r="P571"/>
      <c r="Q571"/>
      <c r="R571"/>
      <c r="S571"/>
      <c r="T571"/>
      <c r="U571"/>
      <c r="V571"/>
      <c r="W571"/>
      <c r="X571"/>
      <c r="Y571"/>
      <c r="Z571"/>
      <c r="AA571"/>
      <c r="AB571" s="64"/>
      <c r="AQ571" s="47"/>
    </row>
    <row r="572" spans="4:43" ht="14.25" customHeight="1">
      <c r="D572"/>
      <c r="E572"/>
      <c r="F572"/>
      <c r="G572"/>
      <c r="H572"/>
      <c r="I572"/>
      <c r="J572"/>
      <c r="K572"/>
      <c r="L572"/>
      <c r="M572"/>
      <c r="N572" s="46"/>
      <c r="O572"/>
      <c r="P572"/>
      <c r="Q572"/>
      <c r="R572"/>
      <c r="S572"/>
      <c r="T572"/>
      <c r="U572"/>
      <c r="V572"/>
      <c r="W572"/>
      <c r="X572"/>
      <c r="Y572"/>
      <c r="Z572"/>
      <c r="AA572"/>
      <c r="AB572" s="64"/>
      <c r="AQ572" s="47"/>
    </row>
    <row r="573" spans="4:43" ht="14.25" customHeight="1">
      <c r="D573"/>
      <c r="E573"/>
      <c r="F573"/>
      <c r="G573"/>
      <c r="H573"/>
      <c r="I573"/>
      <c r="J573"/>
      <c r="K573"/>
      <c r="L573"/>
      <c r="M573"/>
      <c r="N573" s="46"/>
      <c r="O573"/>
      <c r="P573"/>
      <c r="Q573"/>
      <c r="R573"/>
      <c r="S573"/>
      <c r="T573"/>
      <c r="U573"/>
      <c r="V573"/>
      <c r="W573"/>
      <c r="X573"/>
      <c r="Y573"/>
      <c r="Z573"/>
      <c r="AA573"/>
      <c r="AB573" s="64"/>
      <c r="AQ573" s="47"/>
    </row>
    <row r="574" spans="4:43" ht="14.25" customHeight="1">
      <c r="D574"/>
      <c r="E574"/>
      <c r="F574"/>
      <c r="G574"/>
      <c r="H574"/>
      <c r="I574"/>
      <c r="J574"/>
      <c r="K574"/>
      <c r="L574"/>
      <c r="M574"/>
      <c r="N574" s="46"/>
      <c r="O574"/>
      <c r="P574"/>
      <c r="Q574"/>
      <c r="R574"/>
      <c r="S574"/>
      <c r="T574"/>
      <c r="U574"/>
      <c r="V574"/>
      <c r="W574"/>
      <c r="X574"/>
      <c r="Y574"/>
      <c r="Z574"/>
      <c r="AA574"/>
      <c r="AB574" s="64"/>
      <c r="AQ574" s="47"/>
    </row>
    <row r="575" spans="4:43" ht="14.25" customHeight="1">
      <c r="D575"/>
      <c r="E575"/>
      <c r="F575"/>
      <c r="G575"/>
      <c r="H575"/>
      <c r="I575"/>
      <c r="J575"/>
      <c r="K575"/>
      <c r="L575"/>
      <c r="M575"/>
      <c r="N575" s="46"/>
      <c r="O575"/>
      <c r="P575"/>
      <c r="Q575"/>
      <c r="R575"/>
      <c r="S575"/>
      <c r="T575"/>
      <c r="U575"/>
      <c r="V575"/>
      <c r="W575"/>
      <c r="X575"/>
      <c r="Y575"/>
      <c r="Z575"/>
      <c r="AA575"/>
      <c r="AB575" s="64"/>
      <c r="AQ575" s="47"/>
    </row>
    <row r="576" spans="4:43" ht="14.25" customHeight="1">
      <c r="D576"/>
      <c r="E576"/>
      <c r="F576"/>
      <c r="G576"/>
      <c r="H576"/>
      <c r="I576"/>
      <c r="J576"/>
      <c r="K576"/>
      <c r="L576"/>
      <c r="M576"/>
      <c r="N576" s="46"/>
      <c r="O576"/>
      <c r="P576"/>
      <c r="Q576"/>
      <c r="R576"/>
      <c r="S576"/>
      <c r="T576"/>
      <c r="U576"/>
      <c r="V576"/>
      <c r="W576"/>
      <c r="X576"/>
      <c r="Y576"/>
      <c r="Z576"/>
      <c r="AA576"/>
      <c r="AB576" s="64"/>
      <c r="AQ576" s="47"/>
    </row>
    <row r="577" spans="4:43" ht="14.25" customHeight="1">
      <c r="D577"/>
      <c r="E577"/>
      <c r="F577"/>
      <c r="G577"/>
      <c r="H577"/>
      <c r="I577"/>
      <c r="J577"/>
      <c r="K577"/>
      <c r="L577"/>
      <c r="M577"/>
      <c r="N577" s="46"/>
      <c r="O577"/>
      <c r="P577"/>
      <c r="Q577"/>
      <c r="R577"/>
      <c r="S577"/>
      <c r="T577"/>
      <c r="U577"/>
      <c r="V577"/>
      <c r="W577"/>
      <c r="X577"/>
      <c r="Y577"/>
      <c r="Z577"/>
      <c r="AA577"/>
      <c r="AB577" s="64"/>
      <c r="AQ577" s="47"/>
    </row>
    <row r="578" spans="4:43" ht="14.25" customHeight="1">
      <c r="D578"/>
      <c r="E578"/>
      <c r="F578"/>
      <c r="G578"/>
      <c r="H578"/>
      <c r="I578"/>
      <c r="J578"/>
      <c r="K578"/>
      <c r="L578"/>
      <c r="M578"/>
      <c r="N578" s="46"/>
      <c r="O578"/>
      <c r="P578"/>
      <c r="Q578"/>
      <c r="R578"/>
      <c r="S578"/>
      <c r="T578"/>
      <c r="U578"/>
      <c r="V578"/>
      <c r="W578"/>
      <c r="X578"/>
      <c r="Y578"/>
      <c r="Z578"/>
      <c r="AA578"/>
      <c r="AB578" s="64"/>
      <c r="AQ578" s="47"/>
    </row>
    <row r="579" spans="4:43" ht="14.25" customHeight="1">
      <c r="D579"/>
      <c r="E579"/>
      <c r="F579"/>
      <c r="G579"/>
      <c r="H579"/>
      <c r="I579"/>
      <c r="J579"/>
      <c r="K579"/>
      <c r="L579"/>
      <c r="M579"/>
      <c r="N579" s="46"/>
      <c r="O579"/>
      <c r="P579"/>
      <c r="Q579"/>
      <c r="R579"/>
      <c r="S579"/>
      <c r="T579"/>
      <c r="U579"/>
      <c r="V579"/>
      <c r="W579"/>
      <c r="X579"/>
      <c r="Y579"/>
      <c r="Z579"/>
      <c r="AA579"/>
      <c r="AB579" s="64"/>
      <c r="AQ579" s="47"/>
    </row>
    <row r="580" spans="4:43" ht="14.25" customHeight="1">
      <c r="D580"/>
      <c r="E580"/>
      <c r="F580"/>
      <c r="G580"/>
      <c r="H580"/>
      <c r="I580"/>
      <c r="J580"/>
      <c r="K580"/>
      <c r="L580"/>
      <c r="M580"/>
      <c r="N580" s="46"/>
      <c r="O580"/>
      <c r="P580"/>
      <c r="Q580"/>
      <c r="R580"/>
      <c r="S580"/>
      <c r="T580"/>
      <c r="U580"/>
      <c r="V580"/>
      <c r="W580"/>
      <c r="X580"/>
      <c r="Y580"/>
      <c r="Z580"/>
      <c r="AA580"/>
      <c r="AB580" s="64"/>
      <c r="AQ580" s="47"/>
    </row>
    <row r="581" spans="4:43" ht="14.25" customHeight="1">
      <c r="D581"/>
      <c r="E581"/>
      <c r="F581"/>
      <c r="G581"/>
      <c r="H581"/>
      <c r="I581"/>
      <c r="J581"/>
      <c r="K581"/>
      <c r="L581"/>
      <c r="M581"/>
      <c r="N581" s="46"/>
      <c r="O581"/>
      <c r="P581"/>
      <c r="Q581"/>
      <c r="R581"/>
      <c r="S581"/>
      <c r="T581"/>
      <c r="U581"/>
      <c r="V581"/>
      <c r="W581"/>
      <c r="X581"/>
      <c r="Y581"/>
      <c r="Z581"/>
      <c r="AA581"/>
      <c r="AB581" s="64"/>
      <c r="AQ581" s="47"/>
    </row>
    <row r="582" spans="4:43" ht="14.25" customHeight="1">
      <c r="D582"/>
      <c r="E582"/>
      <c r="F582"/>
      <c r="G582"/>
      <c r="H582"/>
      <c r="I582"/>
      <c r="J582"/>
      <c r="K582"/>
      <c r="L582"/>
      <c r="M582"/>
      <c r="N582" s="46"/>
      <c r="O582"/>
      <c r="P582"/>
      <c r="Q582"/>
      <c r="R582"/>
      <c r="S582"/>
      <c r="T582"/>
      <c r="U582"/>
      <c r="V582"/>
      <c r="W582"/>
      <c r="X582"/>
      <c r="Y582"/>
      <c r="Z582"/>
      <c r="AA582"/>
      <c r="AB582" s="64"/>
      <c r="AQ582" s="47"/>
    </row>
    <row r="583" spans="4:43" ht="14.25" customHeight="1">
      <c r="D583"/>
      <c r="E583"/>
      <c r="F583"/>
      <c r="G583"/>
      <c r="H583"/>
      <c r="I583"/>
      <c r="J583"/>
      <c r="K583"/>
      <c r="L583"/>
      <c r="M583"/>
      <c r="N583" s="46"/>
      <c r="O583"/>
      <c r="P583"/>
      <c r="Q583"/>
      <c r="R583"/>
      <c r="S583"/>
      <c r="T583"/>
      <c r="U583"/>
      <c r="V583"/>
      <c r="W583"/>
      <c r="X583"/>
      <c r="Y583"/>
      <c r="Z583"/>
      <c r="AA583"/>
      <c r="AB583" s="64"/>
      <c r="AQ583" s="47"/>
    </row>
    <row r="584" spans="4:43" ht="14.25" customHeight="1">
      <c r="D584"/>
      <c r="E584"/>
      <c r="F584"/>
      <c r="G584"/>
      <c r="H584"/>
      <c r="I584"/>
      <c r="J584"/>
      <c r="K584"/>
      <c r="L584"/>
      <c r="M584"/>
      <c r="N584" s="46"/>
      <c r="O584"/>
      <c r="P584"/>
      <c r="Q584"/>
      <c r="R584"/>
      <c r="S584"/>
      <c r="T584"/>
      <c r="U584"/>
      <c r="V584"/>
      <c r="W584"/>
      <c r="X584"/>
      <c r="Y584"/>
      <c r="Z584"/>
      <c r="AA584"/>
      <c r="AB584" s="64"/>
      <c r="AQ584" s="47"/>
    </row>
    <row r="585" spans="4:43" ht="14.25" customHeight="1">
      <c r="D585"/>
      <c r="E585"/>
      <c r="F585"/>
      <c r="G585"/>
      <c r="H585"/>
      <c r="I585"/>
      <c r="J585"/>
      <c r="K585"/>
      <c r="L585"/>
      <c r="M585"/>
      <c r="N585" s="46"/>
      <c r="O585"/>
      <c r="P585"/>
      <c r="Q585"/>
      <c r="R585"/>
      <c r="S585"/>
      <c r="T585"/>
      <c r="U585"/>
      <c r="V585"/>
      <c r="W585"/>
      <c r="X585"/>
      <c r="Y585"/>
      <c r="Z585"/>
      <c r="AA585"/>
      <c r="AB585" s="64"/>
      <c r="AQ585" s="47"/>
    </row>
    <row r="586" spans="4:43" ht="14.25" customHeight="1">
      <c r="D586"/>
      <c r="E586"/>
      <c r="F586"/>
      <c r="G586"/>
      <c r="H586"/>
      <c r="I586"/>
      <c r="J586"/>
      <c r="K586"/>
      <c r="L586"/>
      <c r="M586"/>
      <c r="N586" s="46"/>
      <c r="O586"/>
      <c r="P586"/>
      <c r="Q586"/>
      <c r="R586"/>
      <c r="S586"/>
      <c r="T586"/>
      <c r="U586"/>
      <c r="V586"/>
      <c r="W586"/>
      <c r="X586"/>
      <c r="Y586"/>
      <c r="Z586"/>
      <c r="AA586"/>
      <c r="AB586" s="64"/>
      <c r="AQ586" s="47"/>
    </row>
    <row r="587" spans="4:43" ht="14.25" customHeight="1">
      <c r="D587"/>
      <c r="E587"/>
      <c r="F587"/>
      <c r="G587"/>
      <c r="H587"/>
      <c r="I587"/>
      <c r="J587"/>
      <c r="K587"/>
      <c r="L587"/>
      <c r="M587"/>
      <c r="N587" s="46"/>
      <c r="O587"/>
      <c r="P587"/>
      <c r="Q587"/>
      <c r="R587"/>
      <c r="S587"/>
      <c r="T587"/>
      <c r="U587"/>
      <c r="V587"/>
      <c r="W587"/>
      <c r="X587"/>
      <c r="Y587"/>
      <c r="Z587"/>
      <c r="AA587"/>
      <c r="AB587" s="64"/>
      <c r="AQ587" s="47"/>
    </row>
    <row r="588" spans="4:43" ht="14.25" customHeight="1">
      <c r="D588"/>
      <c r="E588"/>
      <c r="F588"/>
      <c r="G588"/>
      <c r="H588"/>
      <c r="I588"/>
      <c r="J588"/>
      <c r="K588"/>
      <c r="L588"/>
      <c r="M588"/>
      <c r="N588" s="46"/>
      <c r="O588"/>
      <c r="P588"/>
      <c r="Q588"/>
      <c r="R588"/>
      <c r="S588"/>
      <c r="T588"/>
      <c r="U588"/>
      <c r="V588"/>
      <c r="W588"/>
      <c r="X588"/>
      <c r="Y588"/>
      <c r="Z588"/>
      <c r="AA588"/>
      <c r="AB588" s="64"/>
      <c r="AQ588" s="47"/>
    </row>
    <row r="589" spans="4:43" ht="14.25" customHeight="1">
      <c r="D589"/>
      <c r="E589"/>
      <c r="F589"/>
      <c r="G589"/>
      <c r="H589"/>
      <c r="I589"/>
      <c r="J589"/>
      <c r="K589"/>
      <c r="L589"/>
      <c r="M589"/>
      <c r="N589" s="46"/>
      <c r="O589"/>
      <c r="P589"/>
      <c r="Q589"/>
      <c r="R589"/>
      <c r="S589"/>
      <c r="T589"/>
      <c r="U589"/>
      <c r="V589"/>
      <c r="W589"/>
      <c r="X589"/>
      <c r="Y589"/>
      <c r="Z589"/>
      <c r="AA589"/>
      <c r="AB589" s="64"/>
      <c r="AQ589" s="47"/>
    </row>
    <row r="590" spans="4:43" ht="14.25" customHeight="1">
      <c r="D590"/>
      <c r="E590"/>
      <c r="F590"/>
      <c r="G590"/>
      <c r="H590"/>
      <c r="I590"/>
      <c r="J590"/>
      <c r="K590"/>
      <c r="L590"/>
      <c r="M590"/>
      <c r="N590" s="46"/>
      <c r="O590"/>
      <c r="P590"/>
      <c r="Q590"/>
      <c r="R590"/>
      <c r="S590"/>
      <c r="T590"/>
      <c r="U590"/>
      <c r="V590"/>
      <c r="W590"/>
      <c r="X590"/>
      <c r="Y590"/>
      <c r="Z590"/>
      <c r="AA590"/>
      <c r="AB590" s="64"/>
      <c r="AQ590" s="47"/>
    </row>
    <row r="591" spans="4:43" ht="14.25" customHeight="1">
      <c r="D591"/>
      <c r="E591"/>
      <c r="F591"/>
      <c r="G591"/>
      <c r="H591"/>
      <c r="I591"/>
      <c r="J591"/>
      <c r="K591"/>
      <c r="L591"/>
      <c r="M591"/>
      <c r="N591" s="46"/>
      <c r="O591"/>
      <c r="P591"/>
      <c r="Q591"/>
      <c r="R591"/>
      <c r="S591"/>
      <c r="T591"/>
      <c r="U591"/>
      <c r="V591"/>
      <c r="W591"/>
      <c r="X591"/>
      <c r="Y591"/>
      <c r="Z591"/>
      <c r="AA591"/>
      <c r="AB591" s="64"/>
      <c r="AQ591" s="47"/>
    </row>
    <row r="592" spans="4:43" ht="14.25" customHeight="1">
      <c r="D592"/>
      <c r="E592"/>
      <c r="F592"/>
      <c r="G592"/>
      <c r="H592"/>
      <c r="I592"/>
      <c r="J592"/>
      <c r="K592"/>
      <c r="L592"/>
      <c r="M592"/>
      <c r="N592" s="46"/>
      <c r="O592"/>
      <c r="P592"/>
      <c r="Q592"/>
      <c r="R592"/>
      <c r="S592"/>
      <c r="T592"/>
      <c r="U592"/>
      <c r="V592"/>
      <c r="W592"/>
      <c r="X592"/>
      <c r="Y592"/>
      <c r="Z592"/>
      <c r="AA592"/>
      <c r="AB592" s="64"/>
      <c r="AQ592" s="47"/>
    </row>
    <row r="593" spans="4:43" ht="14.25" customHeight="1">
      <c r="D593"/>
      <c r="E593"/>
      <c r="F593"/>
      <c r="G593"/>
      <c r="H593"/>
      <c r="I593"/>
      <c r="J593"/>
      <c r="K593"/>
      <c r="L593"/>
      <c r="M593"/>
      <c r="N593" s="46"/>
      <c r="O593"/>
      <c r="P593"/>
      <c r="Q593"/>
      <c r="R593"/>
      <c r="S593"/>
      <c r="T593"/>
      <c r="U593"/>
      <c r="V593"/>
      <c r="W593"/>
      <c r="X593"/>
      <c r="Y593"/>
      <c r="Z593"/>
      <c r="AA593"/>
      <c r="AB593" s="64"/>
      <c r="AQ593" s="47"/>
    </row>
    <row r="594" spans="4:43" ht="14.25" customHeight="1">
      <c r="D594"/>
      <c r="E594"/>
      <c r="F594"/>
      <c r="G594"/>
      <c r="H594"/>
      <c r="I594"/>
      <c r="J594"/>
      <c r="K594"/>
      <c r="L594"/>
      <c r="M594"/>
      <c r="N594" s="46"/>
      <c r="O594"/>
      <c r="P594"/>
      <c r="Q594"/>
      <c r="R594"/>
      <c r="S594"/>
      <c r="T594"/>
      <c r="U594"/>
      <c r="V594"/>
      <c r="W594"/>
      <c r="X594"/>
      <c r="Y594"/>
      <c r="Z594"/>
      <c r="AA594"/>
      <c r="AB594" s="64"/>
      <c r="AQ594" s="47"/>
    </row>
    <row r="595" spans="4:43" ht="14.25" customHeight="1">
      <c r="D595"/>
      <c r="E595"/>
      <c r="F595"/>
      <c r="G595"/>
      <c r="H595"/>
      <c r="I595"/>
      <c r="J595"/>
      <c r="K595"/>
      <c r="L595"/>
      <c r="M595"/>
      <c r="N595" s="46"/>
      <c r="O595"/>
      <c r="P595"/>
      <c r="Q595"/>
      <c r="R595"/>
      <c r="S595"/>
      <c r="T595"/>
      <c r="U595"/>
      <c r="V595"/>
      <c r="W595"/>
      <c r="X595"/>
      <c r="Y595"/>
      <c r="Z595"/>
      <c r="AA595"/>
      <c r="AB595" s="64"/>
      <c r="AQ595" s="47"/>
    </row>
    <row r="596" spans="4:43" ht="14.25" customHeight="1">
      <c r="D596"/>
      <c r="E596"/>
      <c r="F596"/>
      <c r="G596"/>
      <c r="H596"/>
      <c r="I596"/>
      <c r="J596"/>
      <c r="K596"/>
      <c r="L596"/>
      <c r="M596"/>
      <c r="N596" s="46"/>
      <c r="O596"/>
      <c r="P596"/>
      <c r="Q596"/>
      <c r="R596"/>
      <c r="S596"/>
      <c r="T596"/>
      <c r="U596"/>
      <c r="V596"/>
      <c r="W596"/>
      <c r="X596"/>
      <c r="Y596"/>
      <c r="Z596"/>
      <c r="AA596"/>
      <c r="AB596" s="64"/>
      <c r="AQ596" s="47"/>
    </row>
    <row r="597" spans="4:43" ht="14.25" customHeight="1">
      <c r="D597"/>
      <c r="E597"/>
      <c r="F597"/>
      <c r="G597"/>
      <c r="H597"/>
      <c r="I597"/>
      <c r="J597"/>
      <c r="K597"/>
      <c r="L597"/>
      <c r="M597"/>
      <c r="N597" s="46"/>
      <c r="O597"/>
      <c r="P597"/>
      <c r="Q597"/>
      <c r="R597"/>
      <c r="S597"/>
      <c r="T597"/>
      <c r="U597"/>
      <c r="V597"/>
      <c r="W597"/>
      <c r="X597"/>
      <c r="Y597"/>
      <c r="Z597"/>
      <c r="AA597"/>
      <c r="AB597" s="64"/>
      <c r="AQ597" s="47"/>
    </row>
    <row r="598" spans="4:43" ht="14.25" customHeight="1">
      <c r="D598"/>
      <c r="E598"/>
      <c r="F598"/>
      <c r="G598"/>
      <c r="H598"/>
      <c r="I598"/>
      <c r="J598"/>
      <c r="K598"/>
      <c r="L598"/>
      <c r="M598"/>
      <c r="N598" s="46"/>
      <c r="O598"/>
      <c r="P598"/>
      <c r="Q598"/>
      <c r="R598"/>
      <c r="S598"/>
      <c r="T598"/>
      <c r="U598"/>
      <c r="V598"/>
      <c r="W598"/>
      <c r="X598"/>
      <c r="Y598"/>
      <c r="Z598"/>
      <c r="AA598"/>
      <c r="AB598" s="64"/>
      <c r="AQ598" s="47"/>
    </row>
    <row r="599" spans="4:43" ht="14.25" customHeight="1">
      <c r="D599"/>
      <c r="E599"/>
      <c r="F599"/>
      <c r="G599"/>
      <c r="H599"/>
      <c r="I599"/>
      <c r="J599"/>
      <c r="K599"/>
      <c r="L599"/>
      <c r="M599"/>
      <c r="N599" s="46"/>
      <c r="O599"/>
      <c r="P599"/>
      <c r="Q599"/>
      <c r="R599"/>
      <c r="S599"/>
      <c r="T599"/>
      <c r="U599"/>
      <c r="V599"/>
      <c r="W599"/>
      <c r="X599"/>
      <c r="Y599"/>
      <c r="Z599"/>
      <c r="AA599"/>
      <c r="AB599" s="64"/>
      <c r="AQ599" s="47"/>
    </row>
    <row r="600" spans="4:43" ht="14.25" customHeight="1">
      <c r="D600"/>
      <c r="E600"/>
      <c r="F600"/>
      <c r="G600"/>
      <c r="H600"/>
      <c r="I600"/>
      <c r="J600"/>
      <c r="K600"/>
      <c r="L600"/>
      <c r="M600"/>
      <c r="N600" s="46"/>
      <c r="O600"/>
      <c r="P600"/>
      <c r="Q600"/>
      <c r="R600"/>
      <c r="S600"/>
      <c r="T600"/>
      <c r="U600"/>
      <c r="V600"/>
      <c r="W600"/>
      <c r="X600"/>
      <c r="Y600"/>
      <c r="Z600"/>
      <c r="AA600"/>
      <c r="AB600" s="64"/>
      <c r="AQ600" s="47"/>
    </row>
    <row r="601" spans="4:43" ht="14.25" customHeight="1">
      <c r="D601"/>
      <c r="E601"/>
      <c r="F601"/>
      <c r="G601"/>
      <c r="H601"/>
      <c r="I601"/>
      <c r="J601"/>
      <c r="K601"/>
      <c r="L601"/>
      <c r="M601"/>
      <c r="N601" s="46"/>
      <c r="O601"/>
      <c r="P601"/>
      <c r="Q601"/>
      <c r="R601"/>
      <c r="S601"/>
      <c r="T601"/>
      <c r="U601"/>
      <c r="V601"/>
      <c r="W601"/>
      <c r="X601"/>
      <c r="Y601"/>
      <c r="Z601"/>
      <c r="AA601"/>
      <c r="AB601" s="64"/>
      <c r="AQ601" s="47"/>
    </row>
    <row r="602" spans="4:43" ht="14.25" customHeight="1">
      <c r="D602"/>
      <c r="E602"/>
      <c r="F602"/>
      <c r="G602"/>
      <c r="H602"/>
      <c r="I602"/>
      <c r="J602"/>
      <c r="K602"/>
      <c r="L602"/>
      <c r="M602"/>
      <c r="N602" s="46"/>
      <c r="O602"/>
      <c r="P602"/>
      <c r="Q602"/>
      <c r="R602"/>
      <c r="S602"/>
      <c r="T602"/>
      <c r="U602"/>
      <c r="V602"/>
      <c r="W602"/>
      <c r="X602"/>
      <c r="Y602"/>
      <c r="Z602"/>
      <c r="AA602"/>
      <c r="AB602" s="64"/>
      <c r="AQ602" s="47"/>
    </row>
    <row r="603" spans="4:43" ht="14.25" customHeight="1">
      <c r="D603"/>
      <c r="E603"/>
      <c r="F603"/>
      <c r="G603"/>
      <c r="H603"/>
      <c r="I603"/>
      <c r="J603"/>
      <c r="K603"/>
      <c r="L603"/>
      <c r="M603"/>
      <c r="N603" s="46"/>
      <c r="O603"/>
      <c r="P603"/>
      <c r="Q603"/>
      <c r="R603"/>
      <c r="S603"/>
      <c r="T603"/>
      <c r="U603"/>
      <c r="V603"/>
      <c r="W603"/>
      <c r="X603"/>
      <c r="Y603"/>
      <c r="Z603"/>
      <c r="AA603"/>
      <c r="AB603" s="64"/>
      <c r="AQ603" s="47"/>
    </row>
    <row r="604" spans="4:43" ht="14.25" customHeight="1">
      <c r="D604"/>
      <c r="E604"/>
      <c r="F604"/>
      <c r="G604"/>
      <c r="H604"/>
      <c r="I604"/>
      <c r="J604"/>
      <c r="K604"/>
      <c r="L604"/>
      <c r="M604"/>
      <c r="N604" s="46"/>
      <c r="O604"/>
      <c r="P604"/>
      <c r="Q604"/>
      <c r="R604"/>
      <c r="S604"/>
      <c r="T604"/>
      <c r="U604"/>
      <c r="V604"/>
      <c r="W604"/>
      <c r="X604"/>
      <c r="Y604"/>
      <c r="Z604"/>
      <c r="AA604"/>
      <c r="AB604" s="64"/>
      <c r="AQ604" s="47"/>
    </row>
    <row r="605" spans="4:43" ht="14.25" customHeight="1">
      <c r="D605"/>
      <c r="E605"/>
      <c r="F605"/>
      <c r="G605"/>
      <c r="H605"/>
      <c r="I605"/>
      <c r="J605"/>
      <c r="K605"/>
      <c r="L605"/>
      <c r="M605"/>
      <c r="N605" s="46"/>
      <c r="O605"/>
      <c r="P605"/>
      <c r="Q605"/>
      <c r="R605"/>
      <c r="S605"/>
      <c r="T605"/>
      <c r="U605"/>
      <c r="V605"/>
      <c r="W605"/>
      <c r="X605"/>
      <c r="Y605"/>
      <c r="Z605"/>
      <c r="AA605"/>
      <c r="AB605" s="64"/>
      <c r="AQ605" s="47"/>
    </row>
    <row r="606" spans="4:43" ht="14.25" customHeight="1">
      <c r="D606"/>
      <c r="E606"/>
      <c r="F606"/>
      <c r="G606"/>
      <c r="H606"/>
      <c r="I606"/>
      <c r="J606"/>
      <c r="K606"/>
      <c r="L606"/>
      <c r="M606"/>
      <c r="N606" s="46"/>
      <c r="O606"/>
      <c r="P606"/>
      <c r="Q606"/>
      <c r="R606"/>
      <c r="S606"/>
      <c r="T606"/>
      <c r="U606"/>
      <c r="V606"/>
      <c r="W606"/>
      <c r="X606"/>
      <c r="Y606"/>
      <c r="Z606"/>
      <c r="AA606"/>
      <c r="AB606" s="64"/>
      <c r="AQ606" s="47"/>
    </row>
    <row r="607" spans="4:43" ht="14.25" customHeight="1">
      <c r="D607"/>
      <c r="E607"/>
      <c r="F607"/>
      <c r="G607"/>
      <c r="H607"/>
      <c r="I607"/>
      <c r="J607"/>
      <c r="K607"/>
      <c r="L607"/>
      <c r="M607"/>
      <c r="N607" s="46"/>
      <c r="O607"/>
      <c r="P607"/>
      <c r="Q607"/>
      <c r="R607"/>
      <c r="S607"/>
      <c r="T607"/>
      <c r="U607"/>
      <c r="V607"/>
      <c r="W607"/>
      <c r="X607"/>
      <c r="Y607"/>
      <c r="Z607"/>
      <c r="AA607"/>
      <c r="AB607" s="64"/>
      <c r="AQ607" s="47"/>
    </row>
    <row r="608" spans="4:43" ht="14.25" customHeight="1">
      <c r="D608"/>
      <c r="E608"/>
      <c r="F608"/>
      <c r="G608"/>
      <c r="H608"/>
      <c r="I608"/>
      <c r="J608"/>
      <c r="K608"/>
      <c r="L608"/>
      <c r="M608"/>
      <c r="N608" s="46"/>
      <c r="O608"/>
      <c r="P608"/>
      <c r="Q608"/>
      <c r="R608"/>
      <c r="S608"/>
      <c r="T608"/>
      <c r="U608"/>
      <c r="V608"/>
      <c r="W608"/>
      <c r="X608"/>
      <c r="Y608"/>
      <c r="Z608"/>
      <c r="AA608"/>
      <c r="AB608" s="64"/>
      <c r="AQ608" s="47"/>
    </row>
    <row r="609" spans="4:43" ht="14.25" customHeight="1">
      <c r="D609"/>
      <c r="E609"/>
      <c r="F609"/>
      <c r="G609"/>
      <c r="H609"/>
      <c r="I609"/>
      <c r="J609"/>
      <c r="K609"/>
      <c r="L609"/>
      <c r="M609"/>
      <c r="N609" s="46"/>
      <c r="O609"/>
      <c r="P609"/>
      <c r="Q609"/>
      <c r="R609"/>
      <c r="S609"/>
      <c r="T609"/>
      <c r="U609"/>
      <c r="V609"/>
      <c r="W609"/>
      <c r="X609"/>
      <c r="Y609"/>
      <c r="Z609"/>
      <c r="AA609"/>
      <c r="AB609" s="64"/>
      <c r="AQ609" s="47"/>
    </row>
    <row r="610" spans="4:43" ht="14.25" customHeight="1">
      <c r="D610"/>
      <c r="E610"/>
      <c r="F610"/>
      <c r="G610"/>
      <c r="H610"/>
      <c r="I610"/>
      <c r="J610"/>
      <c r="K610"/>
      <c r="L610"/>
      <c r="M610"/>
      <c r="N610" s="46"/>
      <c r="O610"/>
      <c r="P610"/>
      <c r="Q610"/>
      <c r="R610"/>
      <c r="S610"/>
      <c r="T610"/>
      <c r="U610"/>
      <c r="V610"/>
      <c r="W610"/>
      <c r="X610"/>
      <c r="Y610"/>
      <c r="Z610"/>
      <c r="AA610"/>
      <c r="AB610" s="64"/>
      <c r="AQ610" s="47"/>
    </row>
    <row r="611" spans="4:43" ht="14.25" customHeight="1">
      <c r="D611"/>
      <c r="E611"/>
      <c r="F611"/>
      <c r="G611"/>
      <c r="H611"/>
      <c r="I611"/>
      <c r="J611"/>
      <c r="K611"/>
      <c r="L611"/>
      <c r="M611"/>
      <c r="N611" s="46"/>
      <c r="O611"/>
      <c r="P611"/>
      <c r="Q611"/>
      <c r="R611"/>
      <c r="S611"/>
      <c r="T611"/>
      <c r="U611"/>
      <c r="V611"/>
      <c r="W611"/>
      <c r="X611"/>
      <c r="Y611"/>
      <c r="Z611"/>
      <c r="AA611"/>
      <c r="AB611" s="64"/>
      <c r="AQ611" s="47"/>
    </row>
    <row r="612" spans="4:43" ht="14.25" customHeight="1">
      <c r="D612"/>
      <c r="E612"/>
      <c r="F612"/>
      <c r="G612"/>
      <c r="H612"/>
      <c r="I612"/>
      <c r="J612"/>
      <c r="K612"/>
      <c r="L612"/>
      <c r="M612"/>
      <c r="N612" s="46"/>
      <c r="O612"/>
      <c r="P612"/>
      <c r="Q612"/>
      <c r="R612"/>
      <c r="S612"/>
      <c r="T612"/>
      <c r="U612"/>
      <c r="V612"/>
      <c r="W612"/>
      <c r="X612"/>
      <c r="Y612"/>
      <c r="Z612"/>
      <c r="AA612"/>
      <c r="AB612" s="64"/>
      <c r="AQ612" s="47"/>
    </row>
    <row r="613" spans="4:43" ht="14.25" customHeight="1">
      <c r="D613"/>
      <c r="E613"/>
      <c r="F613"/>
      <c r="G613"/>
      <c r="H613"/>
      <c r="I613"/>
      <c r="J613"/>
      <c r="K613"/>
      <c r="L613"/>
      <c r="M613"/>
      <c r="N613" s="46"/>
      <c r="O613"/>
      <c r="P613"/>
      <c r="Q613"/>
      <c r="R613"/>
      <c r="S613"/>
      <c r="T613"/>
      <c r="U613"/>
      <c r="V613"/>
      <c r="W613"/>
      <c r="X613"/>
      <c r="Y613"/>
      <c r="Z613"/>
      <c r="AA613"/>
      <c r="AB613" s="64"/>
      <c r="AQ613" s="47"/>
    </row>
    <row r="614" spans="4:43" ht="14.25" customHeight="1">
      <c r="D614"/>
      <c r="E614"/>
      <c r="F614"/>
      <c r="G614"/>
      <c r="H614"/>
      <c r="I614"/>
      <c r="J614"/>
      <c r="K614"/>
      <c r="L614"/>
      <c r="M614"/>
      <c r="N614" s="46"/>
      <c r="O614"/>
      <c r="P614"/>
      <c r="Q614"/>
      <c r="R614"/>
      <c r="S614"/>
      <c r="T614"/>
      <c r="U614"/>
      <c r="V614"/>
      <c r="W614"/>
      <c r="X614"/>
      <c r="Y614"/>
      <c r="Z614"/>
      <c r="AA614"/>
      <c r="AB614" s="64"/>
      <c r="AQ614" s="47"/>
    </row>
    <row r="615" spans="4:43" ht="14.25" customHeight="1">
      <c r="D615"/>
      <c r="E615"/>
      <c r="F615"/>
      <c r="G615"/>
      <c r="H615"/>
      <c r="I615"/>
      <c r="J615"/>
      <c r="K615"/>
      <c r="L615"/>
      <c r="M615"/>
      <c r="N615" s="46"/>
      <c r="O615"/>
      <c r="P615"/>
      <c r="Q615"/>
      <c r="R615"/>
      <c r="S615"/>
      <c r="T615"/>
      <c r="U615"/>
      <c r="V615"/>
      <c r="W615"/>
      <c r="X615"/>
      <c r="Y615"/>
      <c r="Z615"/>
      <c r="AA615"/>
      <c r="AB615" s="64"/>
      <c r="AQ615" s="47"/>
    </row>
    <row r="616" spans="4:43" ht="14.25" customHeight="1">
      <c r="D616"/>
      <c r="E616"/>
      <c r="F616"/>
      <c r="G616"/>
      <c r="H616"/>
      <c r="I616"/>
      <c r="J616"/>
      <c r="K616"/>
      <c r="L616"/>
      <c r="M616"/>
      <c r="N616" s="46"/>
      <c r="O616"/>
      <c r="P616"/>
      <c r="Q616"/>
      <c r="R616"/>
      <c r="S616"/>
      <c r="T616"/>
      <c r="U616"/>
      <c r="V616"/>
      <c r="W616"/>
      <c r="X616"/>
      <c r="Y616"/>
      <c r="Z616"/>
      <c r="AA616"/>
      <c r="AB616" s="64"/>
      <c r="AQ616" s="47"/>
    </row>
    <row r="617" spans="4:43" ht="14.25" customHeight="1">
      <c r="D617"/>
      <c r="E617"/>
      <c r="F617"/>
      <c r="G617"/>
      <c r="H617"/>
      <c r="I617"/>
      <c r="J617"/>
      <c r="K617"/>
      <c r="L617"/>
      <c r="M617"/>
      <c r="N617" s="46"/>
      <c r="O617"/>
      <c r="P617"/>
      <c r="Q617"/>
      <c r="R617"/>
      <c r="S617"/>
      <c r="T617"/>
      <c r="U617"/>
      <c r="V617"/>
      <c r="W617"/>
      <c r="X617"/>
      <c r="Y617"/>
      <c r="Z617"/>
      <c r="AA617"/>
      <c r="AB617" s="64"/>
      <c r="AQ617" s="47"/>
    </row>
    <row r="618" spans="4:43" ht="14.25" customHeight="1">
      <c r="D618"/>
      <c r="E618"/>
      <c r="F618"/>
      <c r="G618"/>
      <c r="H618"/>
      <c r="I618"/>
      <c r="J618"/>
      <c r="K618"/>
      <c r="L618"/>
      <c r="M618"/>
      <c r="N618" s="46"/>
      <c r="O618"/>
      <c r="P618"/>
      <c r="Q618"/>
      <c r="R618"/>
      <c r="S618"/>
      <c r="T618"/>
      <c r="U618"/>
      <c r="V618"/>
      <c r="W618"/>
      <c r="X618"/>
      <c r="Y618"/>
      <c r="Z618"/>
      <c r="AA618"/>
      <c r="AB618" s="64"/>
      <c r="AQ618" s="47"/>
    </row>
    <row r="619" spans="4:43" ht="14.25" customHeight="1">
      <c r="D619"/>
      <c r="E619"/>
      <c r="F619"/>
      <c r="G619"/>
      <c r="H619"/>
      <c r="I619"/>
      <c r="J619"/>
      <c r="K619"/>
      <c r="L619"/>
      <c r="M619"/>
      <c r="N619" s="46"/>
      <c r="O619"/>
      <c r="P619"/>
      <c r="Q619"/>
      <c r="R619"/>
      <c r="S619"/>
      <c r="T619"/>
      <c r="U619"/>
      <c r="V619"/>
      <c r="W619"/>
      <c r="X619"/>
      <c r="Y619"/>
      <c r="Z619"/>
      <c r="AA619"/>
      <c r="AB619" s="64"/>
      <c r="AQ619" s="47"/>
    </row>
    <row r="620" spans="4:43" ht="14.25" customHeight="1">
      <c r="D620"/>
      <c r="E620"/>
      <c r="F620"/>
      <c r="G620"/>
      <c r="H620"/>
      <c r="I620"/>
      <c r="J620"/>
      <c r="K620"/>
      <c r="L620"/>
      <c r="M620"/>
      <c r="N620" s="46"/>
      <c r="O620"/>
      <c r="P620"/>
      <c r="Q620"/>
      <c r="R620"/>
      <c r="S620"/>
      <c r="T620"/>
      <c r="U620"/>
      <c r="V620"/>
      <c r="W620"/>
      <c r="X620"/>
      <c r="Y620"/>
      <c r="Z620"/>
      <c r="AA620"/>
      <c r="AB620" s="64"/>
      <c r="AQ620" s="47"/>
    </row>
    <row r="621" spans="4:43" ht="14.25" customHeight="1">
      <c r="D621"/>
      <c r="E621"/>
      <c r="F621"/>
      <c r="G621"/>
      <c r="H621"/>
      <c r="I621"/>
      <c r="J621"/>
      <c r="K621"/>
      <c r="L621"/>
      <c r="M621"/>
      <c r="N621" s="46"/>
      <c r="O621"/>
      <c r="P621"/>
      <c r="Q621"/>
      <c r="R621"/>
      <c r="S621"/>
      <c r="T621"/>
      <c r="U621"/>
      <c r="V621"/>
      <c r="W621"/>
      <c r="X621"/>
      <c r="Y621"/>
      <c r="Z621"/>
      <c r="AA621"/>
      <c r="AB621" s="64"/>
      <c r="AQ621" s="47"/>
    </row>
    <row r="622" spans="4:43" ht="14.25" customHeight="1">
      <c r="D622"/>
      <c r="E622"/>
      <c r="F622"/>
      <c r="G622"/>
      <c r="H622"/>
      <c r="I622"/>
      <c r="J622"/>
      <c r="K622"/>
      <c r="L622"/>
      <c r="M622"/>
      <c r="N622" s="46"/>
      <c r="O622"/>
      <c r="P622"/>
      <c r="Q622"/>
      <c r="R622"/>
      <c r="S622"/>
      <c r="T622"/>
      <c r="U622"/>
      <c r="V622"/>
      <c r="W622"/>
      <c r="X622"/>
      <c r="Y622"/>
      <c r="Z622"/>
      <c r="AA622"/>
      <c r="AB622" s="64"/>
      <c r="AQ622" s="47"/>
    </row>
    <row r="623" spans="4:43" ht="14.25" customHeight="1">
      <c r="D623"/>
      <c r="E623"/>
      <c r="F623"/>
      <c r="G623"/>
      <c r="H623"/>
      <c r="I623"/>
      <c r="J623"/>
      <c r="K623"/>
      <c r="L623"/>
      <c r="M623"/>
      <c r="N623" s="46"/>
      <c r="O623"/>
      <c r="P623"/>
      <c r="Q623"/>
      <c r="R623"/>
      <c r="S623"/>
      <c r="T623"/>
      <c r="U623"/>
      <c r="V623"/>
      <c r="W623"/>
      <c r="X623"/>
      <c r="Y623"/>
      <c r="Z623"/>
      <c r="AA623"/>
      <c r="AB623" s="64"/>
      <c r="AQ623" s="47"/>
    </row>
    <row r="624" spans="4:43" ht="14.25" customHeight="1">
      <c r="D624"/>
      <c r="E624"/>
      <c r="F624"/>
      <c r="G624"/>
      <c r="H624"/>
      <c r="I624"/>
      <c r="J624"/>
      <c r="K624"/>
      <c r="L624"/>
      <c r="M624"/>
      <c r="N624" s="46"/>
      <c r="O624"/>
      <c r="P624"/>
      <c r="Q624"/>
      <c r="R624"/>
      <c r="S624"/>
      <c r="T624"/>
      <c r="U624"/>
      <c r="V624"/>
      <c r="W624"/>
      <c r="X624"/>
      <c r="Y624"/>
      <c r="Z624"/>
      <c r="AA624"/>
      <c r="AB624" s="64"/>
      <c r="AQ624" s="47"/>
    </row>
    <row r="625" spans="4:43" ht="14.25" customHeight="1">
      <c r="D625"/>
      <c r="E625"/>
      <c r="F625"/>
      <c r="G625"/>
      <c r="H625"/>
      <c r="I625"/>
      <c r="J625"/>
      <c r="K625"/>
      <c r="L625"/>
      <c r="M625"/>
      <c r="N625" s="46"/>
      <c r="O625"/>
      <c r="P625"/>
      <c r="Q625"/>
      <c r="R625"/>
      <c r="S625"/>
      <c r="T625"/>
      <c r="U625"/>
      <c r="V625"/>
      <c r="W625"/>
      <c r="X625"/>
      <c r="Y625"/>
      <c r="Z625"/>
      <c r="AA625"/>
      <c r="AB625" s="64"/>
      <c r="AQ625" s="47"/>
    </row>
    <row r="626" spans="4:43" ht="14.25" customHeight="1">
      <c r="D626"/>
      <c r="E626"/>
      <c r="F626"/>
      <c r="G626"/>
      <c r="H626"/>
      <c r="I626"/>
      <c r="J626"/>
      <c r="K626"/>
      <c r="L626"/>
      <c r="M626"/>
      <c r="N626" s="46"/>
      <c r="O626"/>
      <c r="P626"/>
      <c r="Q626"/>
      <c r="R626"/>
      <c r="S626"/>
      <c r="T626"/>
      <c r="U626"/>
      <c r="V626"/>
      <c r="W626"/>
      <c r="X626"/>
      <c r="Y626"/>
      <c r="Z626"/>
      <c r="AA626"/>
      <c r="AB626" s="64"/>
      <c r="AQ626" s="47"/>
    </row>
    <row r="627" spans="4:43" ht="14.25" customHeight="1">
      <c r="D627"/>
      <c r="E627"/>
      <c r="F627"/>
      <c r="G627"/>
      <c r="H627"/>
      <c r="I627"/>
      <c r="J627"/>
      <c r="K627"/>
      <c r="L627"/>
      <c r="M627"/>
      <c r="N627" s="46"/>
      <c r="O627"/>
      <c r="P627"/>
      <c r="Q627"/>
      <c r="R627"/>
      <c r="S627"/>
      <c r="T627"/>
      <c r="U627"/>
      <c r="V627"/>
      <c r="W627"/>
      <c r="X627"/>
      <c r="Y627"/>
      <c r="Z627"/>
      <c r="AA627"/>
      <c r="AB627" s="64"/>
      <c r="AQ627" s="47"/>
    </row>
    <row r="628" spans="4:43" ht="14.25" customHeight="1">
      <c r="D628"/>
      <c r="E628"/>
      <c r="F628"/>
      <c r="G628"/>
      <c r="H628"/>
      <c r="I628"/>
      <c r="J628"/>
      <c r="K628"/>
      <c r="L628"/>
      <c r="M628"/>
      <c r="N628" s="46"/>
      <c r="O628"/>
      <c r="P628"/>
      <c r="Q628"/>
      <c r="R628"/>
      <c r="S628"/>
      <c r="T628"/>
      <c r="U628"/>
      <c r="V628"/>
      <c r="W628"/>
      <c r="X628"/>
      <c r="Y628"/>
      <c r="Z628"/>
      <c r="AA628"/>
      <c r="AB628" s="64"/>
      <c r="AQ628" s="47"/>
    </row>
    <row r="629" spans="4:43" ht="14.25" customHeight="1">
      <c r="D629"/>
      <c r="E629"/>
      <c r="F629"/>
      <c r="G629"/>
      <c r="H629"/>
      <c r="I629"/>
      <c r="J629"/>
      <c r="K629"/>
      <c r="L629"/>
      <c r="M629"/>
      <c r="N629" s="46"/>
      <c r="O629"/>
      <c r="P629"/>
      <c r="Q629"/>
      <c r="R629"/>
      <c r="S629"/>
      <c r="T629"/>
      <c r="U629"/>
      <c r="V629"/>
      <c r="W629"/>
      <c r="X629"/>
      <c r="Y629"/>
      <c r="Z629"/>
      <c r="AA629"/>
      <c r="AB629" s="64"/>
      <c r="AQ629" s="47"/>
    </row>
    <row r="630" spans="4:43" ht="14.25" customHeight="1">
      <c r="D630"/>
      <c r="E630"/>
      <c r="F630"/>
      <c r="G630"/>
      <c r="H630"/>
      <c r="I630"/>
      <c r="J630"/>
      <c r="K630"/>
      <c r="L630"/>
      <c r="M630"/>
      <c r="N630" s="46"/>
      <c r="O630"/>
      <c r="P630"/>
      <c r="Q630"/>
      <c r="R630"/>
      <c r="S630"/>
      <c r="T630"/>
      <c r="U630"/>
      <c r="V630"/>
      <c r="W630"/>
      <c r="X630"/>
      <c r="Y630"/>
      <c r="Z630"/>
      <c r="AA630"/>
      <c r="AB630" s="64"/>
      <c r="AQ630" s="47"/>
    </row>
    <row r="631" spans="4:43" ht="14.25" customHeight="1">
      <c r="D631"/>
      <c r="E631"/>
      <c r="F631"/>
      <c r="G631"/>
      <c r="H631"/>
      <c r="I631"/>
      <c r="J631"/>
      <c r="K631"/>
      <c r="L631"/>
      <c r="M631"/>
      <c r="N631" s="46"/>
      <c r="O631"/>
      <c r="P631"/>
      <c r="Q631"/>
      <c r="R631"/>
      <c r="S631"/>
      <c r="T631"/>
      <c r="U631"/>
      <c r="V631"/>
      <c r="W631"/>
      <c r="X631"/>
      <c r="Y631"/>
      <c r="Z631"/>
      <c r="AA631"/>
      <c r="AB631" s="64"/>
      <c r="AQ631" s="47"/>
    </row>
    <row r="632" spans="4:43" ht="14.25" customHeight="1">
      <c r="D632"/>
      <c r="E632"/>
      <c r="F632"/>
      <c r="G632"/>
      <c r="H632"/>
      <c r="I632"/>
      <c r="J632"/>
      <c r="K632"/>
      <c r="L632"/>
      <c r="M632"/>
      <c r="N632" s="46"/>
      <c r="O632"/>
      <c r="P632"/>
      <c r="Q632"/>
      <c r="R632"/>
      <c r="S632"/>
      <c r="T632"/>
      <c r="U632"/>
      <c r="V632"/>
      <c r="W632"/>
      <c r="X632"/>
      <c r="Y632"/>
      <c r="Z632"/>
      <c r="AA632"/>
      <c r="AB632" s="64"/>
      <c r="AQ632" s="47"/>
    </row>
    <row r="633" spans="4:43" ht="14.25" customHeight="1">
      <c r="D633"/>
      <c r="E633"/>
      <c r="F633"/>
      <c r="G633"/>
      <c r="H633"/>
      <c r="I633"/>
      <c r="J633"/>
      <c r="K633"/>
      <c r="L633"/>
      <c r="M633"/>
      <c r="N633" s="46"/>
      <c r="O633"/>
      <c r="P633"/>
      <c r="Q633"/>
      <c r="R633"/>
      <c r="S633"/>
      <c r="T633"/>
      <c r="U633"/>
      <c r="V633"/>
      <c r="W633"/>
      <c r="X633"/>
      <c r="Y633"/>
      <c r="Z633"/>
      <c r="AA633"/>
      <c r="AB633" s="64"/>
      <c r="AQ633" s="47"/>
    </row>
    <row r="634" spans="4:43" ht="14.25" customHeight="1">
      <c r="D634"/>
      <c r="E634"/>
      <c r="F634"/>
      <c r="G634"/>
      <c r="H634"/>
      <c r="I634"/>
      <c r="J634"/>
      <c r="K634"/>
      <c r="L634"/>
      <c r="M634"/>
      <c r="N634" s="46"/>
      <c r="O634"/>
      <c r="P634"/>
      <c r="Q634"/>
      <c r="R634"/>
      <c r="S634"/>
      <c r="T634"/>
      <c r="U634"/>
      <c r="V634"/>
      <c r="W634"/>
      <c r="X634"/>
      <c r="Y634"/>
      <c r="Z634"/>
      <c r="AA634"/>
      <c r="AB634" s="64"/>
      <c r="AQ634" s="47"/>
    </row>
    <row r="635" spans="4:43" ht="14.25" customHeight="1">
      <c r="M635" s="9"/>
      <c r="N635" s="41"/>
      <c r="O635" s="9"/>
      <c r="P635" s="9"/>
      <c r="S635" s="24"/>
      <c r="T635" s="24"/>
      <c r="U635" s="24"/>
      <c r="V635" s="24"/>
      <c r="W635" s="24"/>
      <c r="X635" s="24"/>
      <c r="Y635" s="24"/>
      <c r="Z635" s="24"/>
      <c r="AA635" s="10"/>
      <c r="AB635" s="69"/>
    </row>
  </sheetData>
  <autoFilter ref="A1:AX121" xr:uid="{17D08911-276A-4276-96A8-25B3BBA48D56}"/>
  <hyperlinks>
    <hyperlink ref="AR125" r:id="rId1" xr:uid="{83EBC2CE-C786-425A-992D-D6307F5C8D64}"/>
  </hyperlinks>
  <pageMargins left="0.7" right="0.7" top="0.75" bottom="0.75" header="0.3" footer="0.3"/>
  <pageSetup fitToWidth="0"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35C66-7C82-451F-85B7-9FADCCC4E325}">
  <sheetPr>
    <pageSetUpPr fitToPage="1"/>
  </sheetPr>
  <dimension ref="A1:L602"/>
  <sheetViews>
    <sheetView workbookViewId="0">
      <pane ySplit="1" topLeftCell="B591" activePane="bottomLeft" state="frozen"/>
      <selection pane="bottomLeft" activeCell="B591" sqref="B591"/>
    </sheetView>
  </sheetViews>
  <sheetFormatPr defaultColWidth="9.140625" defaultRowHeight="15"/>
  <cols>
    <col min="1" max="1" width="9.140625" style="138"/>
    <col min="2" max="2" width="14" style="47" customWidth="1"/>
    <col min="3" max="3" width="9.5703125" style="138" customWidth="1"/>
    <col min="4" max="4" width="21.42578125" style="139" customWidth="1"/>
    <col min="5" max="5" width="51.28515625" style="139" customWidth="1"/>
    <col min="6" max="6" width="19" style="138" bestFit="1" customWidth="1"/>
    <col min="7" max="7" width="48.5703125" style="47" customWidth="1"/>
    <col min="8" max="8" width="19.42578125" style="138" customWidth="1"/>
    <col min="9" max="9" width="12.7109375" style="140" customWidth="1"/>
    <col min="10" max="12" width="57.5703125" style="47" customWidth="1"/>
    <col min="13" max="16384" width="9.140625" style="47"/>
  </cols>
  <sheetData>
    <row r="1" spans="1:12">
      <c r="A1" s="116" t="s">
        <v>574</v>
      </c>
      <c r="B1" s="117" t="s">
        <v>575</v>
      </c>
      <c r="C1" s="112" t="s">
        <v>576</v>
      </c>
      <c r="D1" s="118" t="s">
        <v>577</v>
      </c>
      <c r="E1" s="118" t="s">
        <v>578</v>
      </c>
      <c r="F1" s="119" t="s">
        <v>579</v>
      </c>
      <c r="G1" s="120" t="s">
        <v>580</v>
      </c>
      <c r="H1" s="112" t="s">
        <v>581</v>
      </c>
      <c r="I1" s="113" t="s">
        <v>582</v>
      </c>
      <c r="J1" s="118" t="s">
        <v>583</v>
      </c>
      <c r="K1" s="121" t="s">
        <v>50</v>
      </c>
      <c r="L1" s="121" t="s">
        <v>50</v>
      </c>
    </row>
    <row r="2" spans="1:12" ht="198">
      <c r="A2" s="116">
        <v>2025</v>
      </c>
      <c r="B2" s="122" t="s">
        <v>584</v>
      </c>
      <c r="C2" s="112">
        <v>0</v>
      </c>
      <c r="D2" s="123" t="s">
        <v>585</v>
      </c>
      <c r="E2" s="123" t="s">
        <v>586</v>
      </c>
      <c r="F2" s="112">
        <v>0</v>
      </c>
      <c r="G2" s="122"/>
      <c r="H2" s="112"/>
      <c r="I2" s="113"/>
      <c r="J2" s="124"/>
      <c r="K2" s="114"/>
      <c r="L2" s="114"/>
    </row>
    <row r="3" spans="1:12">
      <c r="A3" s="125">
        <v>2025</v>
      </c>
      <c r="B3" s="126" t="s">
        <v>584</v>
      </c>
      <c r="C3" s="110">
        <v>1</v>
      </c>
      <c r="D3" s="127" t="s">
        <v>587</v>
      </c>
      <c r="E3" s="127"/>
      <c r="F3" s="110">
        <v>1</v>
      </c>
      <c r="G3" s="127" t="s">
        <v>588</v>
      </c>
      <c r="H3" s="110"/>
      <c r="I3" s="111">
        <v>1</v>
      </c>
      <c r="J3" s="127" t="s">
        <v>589</v>
      </c>
      <c r="K3" s="114"/>
      <c r="L3" s="114"/>
    </row>
    <row r="4" spans="1:12" ht="244.5">
      <c r="A4" s="125">
        <v>2025</v>
      </c>
      <c r="B4" s="126" t="s">
        <v>584</v>
      </c>
      <c r="C4" s="110">
        <v>2</v>
      </c>
      <c r="D4" s="127" t="s">
        <v>590</v>
      </c>
      <c r="E4" s="127"/>
      <c r="F4" s="110">
        <v>1</v>
      </c>
      <c r="G4" s="127" t="s">
        <v>591</v>
      </c>
      <c r="H4" s="110"/>
      <c r="I4" s="111" t="s">
        <v>592</v>
      </c>
      <c r="J4" s="127" t="s">
        <v>593</v>
      </c>
      <c r="K4" s="114"/>
      <c r="L4" s="114"/>
    </row>
    <row r="5" spans="1:12">
      <c r="A5" s="125">
        <v>2025</v>
      </c>
      <c r="B5" s="126" t="s">
        <v>584</v>
      </c>
      <c r="C5" s="110">
        <v>4</v>
      </c>
      <c r="D5" s="127" t="s">
        <v>594</v>
      </c>
      <c r="E5" s="127"/>
      <c r="F5" s="110">
        <v>1</v>
      </c>
      <c r="G5" s="126" t="s">
        <v>588</v>
      </c>
      <c r="H5" s="110"/>
      <c r="I5" s="111">
        <v>6</v>
      </c>
      <c r="J5" s="127" t="s">
        <v>595</v>
      </c>
      <c r="K5" s="43"/>
      <c r="L5" s="43"/>
    </row>
    <row r="6" spans="1:12" ht="45.75">
      <c r="A6" s="125">
        <v>2025</v>
      </c>
      <c r="B6" s="126" t="s">
        <v>584</v>
      </c>
      <c r="C6" s="110">
        <v>6</v>
      </c>
      <c r="D6" s="127" t="s">
        <v>596</v>
      </c>
      <c r="E6" s="127"/>
      <c r="F6" s="110">
        <v>1</v>
      </c>
      <c r="G6" s="127" t="s">
        <v>597</v>
      </c>
      <c r="H6" s="110"/>
      <c r="I6" s="111">
        <v>9</v>
      </c>
      <c r="J6" s="127" t="s">
        <v>598</v>
      </c>
      <c r="K6" s="43"/>
      <c r="L6" s="43"/>
    </row>
    <row r="7" spans="1:12" ht="30.75">
      <c r="A7" s="125">
        <v>2025</v>
      </c>
      <c r="B7" s="126" t="s">
        <v>584</v>
      </c>
      <c r="C7" s="110">
        <v>10</v>
      </c>
      <c r="D7" s="127" t="s">
        <v>599</v>
      </c>
      <c r="E7" s="127"/>
      <c r="F7" s="110">
        <v>1</v>
      </c>
      <c r="G7" s="127" t="s">
        <v>600</v>
      </c>
      <c r="H7" s="110"/>
      <c r="I7" s="111">
        <v>9</v>
      </c>
      <c r="J7" s="127" t="s">
        <v>601</v>
      </c>
      <c r="K7" s="114"/>
      <c r="L7" s="114"/>
    </row>
    <row r="8" spans="1:12" ht="106.5">
      <c r="A8" s="125">
        <v>2025</v>
      </c>
      <c r="B8" s="126" t="s">
        <v>584</v>
      </c>
      <c r="C8" s="110">
        <v>12</v>
      </c>
      <c r="D8" s="127" t="s">
        <v>602</v>
      </c>
      <c r="E8" s="127"/>
      <c r="F8" s="110">
        <v>1</v>
      </c>
      <c r="G8" s="127" t="s">
        <v>603</v>
      </c>
      <c r="H8" s="110"/>
      <c r="I8" s="111" t="s">
        <v>604</v>
      </c>
      <c r="J8" s="127" t="s">
        <v>605</v>
      </c>
      <c r="K8" s="114"/>
      <c r="L8" s="114"/>
    </row>
    <row r="9" spans="1:12" ht="30.75">
      <c r="A9" s="125">
        <v>2025</v>
      </c>
      <c r="B9" s="126" t="s">
        <v>584</v>
      </c>
      <c r="C9" s="110">
        <v>13</v>
      </c>
      <c r="D9" s="127" t="s">
        <v>606</v>
      </c>
      <c r="E9" s="127"/>
      <c r="F9" s="110">
        <v>1</v>
      </c>
      <c r="G9" s="126" t="s">
        <v>607</v>
      </c>
      <c r="H9" s="110"/>
      <c r="I9" s="111">
        <v>4</v>
      </c>
      <c r="J9" s="127" t="s">
        <v>608</v>
      </c>
      <c r="K9" s="114"/>
      <c r="L9" s="114"/>
    </row>
    <row r="10" spans="1:12" ht="396.75">
      <c r="A10" s="125">
        <v>2025</v>
      </c>
      <c r="B10" s="126" t="s">
        <v>584</v>
      </c>
      <c r="C10" s="110">
        <v>14</v>
      </c>
      <c r="D10" s="127" t="s">
        <v>609</v>
      </c>
      <c r="E10" s="127"/>
      <c r="F10" s="110">
        <v>1</v>
      </c>
      <c r="G10" s="127" t="s">
        <v>610</v>
      </c>
      <c r="H10" s="110"/>
      <c r="I10" s="111">
        <v>14</v>
      </c>
      <c r="J10" s="127" t="s">
        <v>611</v>
      </c>
      <c r="K10" s="114"/>
      <c r="L10" s="114"/>
    </row>
    <row r="11" spans="1:12" ht="305.25">
      <c r="A11" s="125">
        <v>2025</v>
      </c>
      <c r="B11" s="126" t="s">
        <v>612</v>
      </c>
      <c r="C11" s="110">
        <v>0</v>
      </c>
      <c r="D11" s="127" t="s">
        <v>585</v>
      </c>
      <c r="E11" s="127" t="s">
        <v>613</v>
      </c>
      <c r="F11" s="110">
        <v>0</v>
      </c>
      <c r="G11" s="126"/>
      <c r="H11" s="110"/>
      <c r="I11" s="111"/>
      <c r="J11" s="127"/>
      <c r="K11" s="43"/>
      <c r="L11" s="43"/>
    </row>
    <row r="12" spans="1:12">
      <c r="A12" s="125">
        <v>2025</v>
      </c>
      <c r="B12" s="126" t="s">
        <v>612</v>
      </c>
      <c r="C12" s="110">
        <v>1</v>
      </c>
      <c r="D12" s="127" t="s">
        <v>587</v>
      </c>
      <c r="E12" s="127"/>
      <c r="F12" s="110">
        <v>1</v>
      </c>
      <c r="G12" s="127" t="s">
        <v>588</v>
      </c>
      <c r="H12" s="110"/>
      <c r="I12" s="111">
        <v>1</v>
      </c>
      <c r="J12" s="127" t="s">
        <v>589</v>
      </c>
      <c r="K12" s="114"/>
      <c r="L12" s="114"/>
    </row>
    <row r="13" spans="1:12">
      <c r="A13" s="125">
        <v>2025</v>
      </c>
      <c r="B13" s="126" t="s">
        <v>612</v>
      </c>
      <c r="C13" s="110">
        <v>2</v>
      </c>
      <c r="D13" s="127" t="s">
        <v>590</v>
      </c>
      <c r="E13" s="127"/>
      <c r="F13" s="110">
        <v>1</v>
      </c>
      <c r="G13" s="126" t="s">
        <v>588</v>
      </c>
      <c r="H13" s="110"/>
      <c r="I13" s="111">
        <v>3</v>
      </c>
      <c r="J13" s="127" t="s">
        <v>614</v>
      </c>
      <c r="K13" s="114"/>
      <c r="L13" s="114"/>
    </row>
    <row r="14" spans="1:12" ht="229.5">
      <c r="A14" s="125">
        <v>2025</v>
      </c>
      <c r="B14" s="126" t="s">
        <v>612</v>
      </c>
      <c r="C14" s="110">
        <v>2</v>
      </c>
      <c r="D14" s="127" t="s">
        <v>590</v>
      </c>
      <c r="E14" s="127"/>
      <c r="F14" s="110">
        <v>1</v>
      </c>
      <c r="G14" s="127" t="s">
        <v>615</v>
      </c>
      <c r="H14" s="110"/>
      <c r="I14" s="111" t="s">
        <v>616</v>
      </c>
      <c r="J14" s="127" t="s">
        <v>617</v>
      </c>
      <c r="K14" s="114"/>
      <c r="L14" s="114"/>
    </row>
    <row r="15" spans="1:12">
      <c r="A15" s="125">
        <v>2025</v>
      </c>
      <c r="B15" s="126" t="s">
        <v>612</v>
      </c>
      <c r="C15" s="110">
        <v>4</v>
      </c>
      <c r="D15" s="127" t="s">
        <v>594</v>
      </c>
      <c r="E15" s="127"/>
      <c r="F15" s="110">
        <v>1</v>
      </c>
      <c r="G15" s="126" t="s">
        <v>588</v>
      </c>
      <c r="H15" s="110"/>
      <c r="I15" s="111">
        <v>6</v>
      </c>
      <c r="J15" s="127" t="s">
        <v>595</v>
      </c>
      <c r="K15" s="43"/>
      <c r="L15" s="43"/>
    </row>
    <row r="16" spans="1:12" ht="45.75">
      <c r="A16" s="125">
        <v>2025</v>
      </c>
      <c r="B16" s="126" t="s">
        <v>612</v>
      </c>
      <c r="C16" s="110">
        <v>6</v>
      </c>
      <c r="D16" s="127" t="s">
        <v>596</v>
      </c>
      <c r="E16" s="127"/>
      <c r="F16" s="110">
        <v>1</v>
      </c>
      <c r="G16" s="127" t="s">
        <v>597</v>
      </c>
      <c r="H16" s="110"/>
      <c r="I16" s="111">
        <v>9</v>
      </c>
      <c r="J16" s="127" t="s">
        <v>618</v>
      </c>
      <c r="K16" s="43"/>
      <c r="L16" s="43"/>
    </row>
    <row r="17" spans="1:12" ht="30.75">
      <c r="A17" s="125">
        <v>2025</v>
      </c>
      <c r="B17" s="126" t="s">
        <v>612</v>
      </c>
      <c r="C17" s="110">
        <v>10</v>
      </c>
      <c r="D17" s="127" t="s">
        <v>599</v>
      </c>
      <c r="E17" s="127"/>
      <c r="F17" s="110">
        <v>1</v>
      </c>
      <c r="G17" s="127" t="s">
        <v>619</v>
      </c>
      <c r="H17" s="110"/>
      <c r="I17" s="111">
        <v>6</v>
      </c>
      <c r="J17" s="127" t="s">
        <v>601</v>
      </c>
      <c r="K17" s="114"/>
      <c r="L17" s="114"/>
    </row>
    <row r="18" spans="1:12">
      <c r="A18" s="125">
        <v>2025</v>
      </c>
      <c r="B18" s="126" t="s">
        <v>612</v>
      </c>
      <c r="C18" s="110">
        <v>12</v>
      </c>
      <c r="D18" s="127" t="s">
        <v>602</v>
      </c>
      <c r="E18" s="127"/>
      <c r="F18" s="110">
        <v>1</v>
      </c>
      <c r="G18" s="126" t="s">
        <v>620</v>
      </c>
      <c r="H18" s="110"/>
      <c r="I18" s="111" t="s">
        <v>604</v>
      </c>
      <c r="J18" s="127" t="s">
        <v>605</v>
      </c>
      <c r="K18" s="114"/>
      <c r="L18" s="114"/>
    </row>
    <row r="19" spans="1:12" ht="30.75">
      <c r="A19" s="125">
        <v>2025</v>
      </c>
      <c r="B19" s="126" t="s">
        <v>612</v>
      </c>
      <c r="C19" s="110">
        <v>13</v>
      </c>
      <c r="D19" s="127" t="s">
        <v>606</v>
      </c>
      <c r="E19" s="127"/>
      <c r="F19" s="110">
        <v>1</v>
      </c>
      <c r="G19" s="126" t="s">
        <v>607</v>
      </c>
      <c r="H19" s="110"/>
      <c r="I19" s="111">
        <v>4</v>
      </c>
      <c r="J19" s="127" t="s">
        <v>608</v>
      </c>
      <c r="K19" s="114"/>
      <c r="L19" s="114"/>
    </row>
    <row r="20" spans="1:12" ht="183">
      <c r="A20" s="125">
        <v>2025</v>
      </c>
      <c r="B20" s="126" t="s">
        <v>612</v>
      </c>
      <c r="C20" s="110">
        <v>75</v>
      </c>
      <c r="D20" s="127" t="s">
        <v>621</v>
      </c>
      <c r="E20" s="127"/>
      <c r="F20" s="110">
        <v>1</v>
      </c>
      <c r="G20" s="127" t="s">
        <v>622</v>
      </c>
      <c r="H20" s="110"/>
      <c r="I20" s="111">
        <v>14</v>
      </c>
      <c r="J20" s="127" t="s">
        <v>623</v>
      </c>
      <c r="K20" s="114"/>
      <c r="L20" s="114"/>
    </row>
    <row r="21" spans="1:12" ht="244.5">
      <c r="A21" s="125">
        <v>2025</v>
      </c>
      <c r="B21" s="126" t="s">
        <v>624</v>
      </c>
      <c r="C21" s="110">
        <v>0</v>
      </c>
      <c r="D21" s="127" t="s">
        <v>585</v>
      </c>
      <c r="E21" s="127" t="s">
        <v>625</v>
      </c>
      <c r="F21" s="110">
        <v>0</v>
      </c>
      <c r="G21" s="127"/>
      <c r="H21" s="110"/>
      <c r="I21" s="111"/>
      <c r="J21" s="127"/>
      <c r="K21" s="114"/>
      <c r="L21" s="114"/>
    </row>
    <row r="22" spans="1:12">
      <c r="A22" s="125">
        <v>2025</v>
      </c>
      <c r="B22" s="126" t="s">
        <v>624</v>
      </c>
      <c r="C22" s="110">
        <v>1</v>
      </c>
      <c r="D22" s="127" t="s">
        <v>587</v>
      </c>
      <c r="E22" s="127"/>
      <c r="F22" s="110">
        <v>1</v>
      </c>
      <c r="G22" s="127" t="s">
        <v>588</v>
      </c>
      <c r="H22" s="110" t="s">
        <v>626</v>
      </c>
      <c r="I22" s="111">
        <v>1</v>
      </c>
      <c r="J22" s="127" t="s">
        <v>589</v>
      </c>
      <c r="K22" s="114"/>
      <c r="L22" s="114"/>
    </row>
    <row r="23" spans="1:12">
      <c r="A23" s="125">
        <v>2025</v>
      </c>
      <c r="B23" s="126" t="s">
        <v>624</v>
      </c>
      <c r="C23" s="110">
        <v>4</v>
      </c>
      <c r="D23" s="127" t="s">
        <v>594</v>
      </c>
      <c r="E23" s="127"/>
      <c r="F23" s="110">
        <v>1</v>
      </c>
      <c r="G23" s="126" t="s">
        <v>588</v>
      </c>
      <c r="H23" s="110" t="s">
        <v>626</v>
      </c>
      <c r="I23" s="111" t="s">
        <v>627</v>
      </c>
      <c r="J23" s="127" t="s">
        <v>628</v>
      </c>
      <c r="K23" s="114"/>
      <c r="L23" s="114"/>
    </row>
    <row r="24" spans="1:12" ht="30.75">
      <c r="A24" s="125">
        <v>2025</v>
      </c>
      <c r="B24" s="126" t="s">
        <v>624</v>
      </c>
      <c r="C24" s="110">
        <v>10</v>
      </c>
      <c r="D24" s="127" t="s">
        <v>599</v>
      </c>
      <c r="E24" s="127"/>
      <c r="F24" s="110">
        <v>1</v>
      </c>
      <c r="G24" s="127" t="s">
        <v>620</v>
      </c>
      <c r="H24" s="110" t="s">
        <v>626</v>
      </c>
      <c r="I24" s="111" t="s">
        <v>627</v>
      </c>
      <c r="J24" s="127" t="s">
        <v>629</v>
      </c>
      <c r="K24" s="114"/>
      <c r="L24" s="114"/>
    </row>
    <row r="25" spans="1:12" ht="30.75">
      <c r="A25" s="125">
        <v>2025</v>
      </c>
      <c r="B25" s="126" t="s">
        <v>624</v>
      </c>
      <c r="C25" s="110">
        <v>10</v>
      </c>
      <c r="D25" s="127" t="s">
        <v>599</v>
      </c>
      <c r="E25" s="127"/>
      <c r="F25" s="110">
        <v>2</v>
      </c>
      <c r="G25" s="126" t="s">
        <v>588</v>
      </c>
      <c r="H25" s="110" t="s">
        <v>626</v>
      </c>
      <c r="I25" s="111" t="s">
        <v>627</v>
      </c>
      <c r="J25" s="127" t="s">
        <v>630</v>
      </c>
      <c r="K25" s="114"/>
      <c r="L25" s="114"/>
    </row>
    <row r="26" spans="1:12">
      <c r="A26" s="125">
        <v>2025</v>
      </c>
      <c r="B26" s="126" t="s">
        <v>624</v>
      </c>
      <c r="C26" s="110">
        <v>12</v>
      </c>
      <c r="D26" s="127" t="s">
        <v>602</v>
      </c>
      <c r="E26" s="127"/>
      <c r="F26" s="110">
        <v>1</v>
      </c>
      <c r="G26" s="127" t="s">
        <v>620</v>
      </c>
      <c r="H26" s="110" t="s">
        <v>626</v>
      </c>
      <c r="I26" s="111" t="s">
        <v>604</v>
      </c>
      <c r="J26" s="127" t="s">
        <v>631</v>
      </c>
      <c r="K26" s="114"/>
      <c r="L26" s="114"/>
    </row>
    <row r="27" spans="1:12">
      <c r="A27" s="125">
        <v>2025</v>
      </c>
      <c r="B27" s="126" t="s">
        <v>624</v>
      </c>
      <c r="C27" s="110">
        <v>4</v>
      </c>
      <c r="D27" s="127" t="s">
        <v>594</v>
      </c>
      <c r="E27" s="127"/>
      <c r="F27" s="110">
        <v>1</v>
      </c>
      <c r="G27" s="126" t="s">
        <v>588</v>
      </c>
      <c r="H27" s="110" t="s">
        <v>632</v>
      </c>
      <c r="I27" s="111" t="s">
        <v>627</v>
      </c>
      <c r="J27" s="127" t="s">
        <v>633</v>
      </c>
      <c r="K27" s="114"/>
      <c r="L27" s="114"/>
    </row>
    <row r="28" spans="1:12">
      <c r="A28" s="125">
        <v>2025</v>
      </c>
      <c r="B28" s="126" t="s">
        <v>624</v>
      </c>
      <c r="C28" s="110">
        <v>8</v>
      </c>
      <c r="D28" s="127" t="s">
        <v>634</v>
      </c>
      <c r="E28" s="127"/>
      <c r="F28" s="110">
        <v>1</v>
      </c>
      <c r="G28" s="126" t="s">
        <v>588</v>
      </c>
      <c r="H28" s="110" t="s">
        <v>632</v>
      </c>
      <c r="I28" s="111" t="s">
        <v>627</v>
      </c>
      <c r="J28" s="127" t="s">
        <v>635</v>
      </c>
      <c r="K28" s="114"/>
      <c r="L28" s="114"/>
    </row>
    <row r="29" spans="1:12" ht="30.75">
      <c r="A29" s="125">
        <v>2025</v>
      </c>
      <c r="B29" s="126" t="s">
        <v>624</v>
      </c>
      <c r="C29" s="110">
        <v>10</v>
      </c>
      <c r="D29" s="127" t="s">
        <v>599</v>
      </c>
      <c r="E29" s="127"/>
      <c r="F29" s="110">
        <v>1</v>
      </c>
      <c r="G29" s="126" t="s">
        <v>588</v>
      </c>
      <c r="H29" s="110" t="s">
        <v>632</v>
      </c>
      <c r="I29" s="111" t="s">
        <v>636</v>
      </c>
      <c r="J29" s="127" t="s">
        <v>637</v>
      </c>
      <c r="K29" s="114"/>
      <c r="L29" s="114"/>
    </row>
    <row r="30" spans="1:12">
      <c r="A30" s="125">
        <v>2025</v>
      </c>
      <c r="B30" s="126" t="s">
        <v>624</v>
      </c>
      <c r="C30" s="110">
        <v>12</v>
      </c>
      <c r="D30" s="127" t="s">
        <v>602</v>
      </c>
      <c r="E30" s="127"/>
      <c r="F30" s="110">
        <v>1</v>
      </c>
      <c r="G30" s="126" t="s">
        <v>588</v>
      </c>
      <c r="H30" s="110" t="s">
        <v>632</v>
      </c>
      <c r="I30" s="111" t="s">
        <v>638</v>
      </c>
      <c r="J30" s="127" t="s">
        <v>639</v>
      </c>
      <c r="K30" s="114"/>
      <c r="L30" s="114"/>
    </row>
    <row r="31" spans="1:12">
      <c r="A31" s="125">
        <v>2025</v>
      </c>
      <c r="B31" s="126" t="s">
        <v>624</v>
      </c>
      <c r="C31" s="110">
        <v>8</v>
      </c>
      <c r="D31" s="127" t="s">
        <v>634</v>
      </c>
      <c r="E31" s="127"/>
      <c r="F31" s="110">
        <v>1</v>
      </c>
      <c r="G31" s="126" t="s">
        <v>588</v>
      </c>
      <c r="H31" s="110" t="s">
        <v>640</v>
      </c>
      <c r="I31" s="111" t="s">
        <v>627</v>
      </c>
      <c r="J31" s="127" t="s">
        <v>641</v>
      </c>
      <c r="K31" s="114"/>
      <c r="L31" s="114"/>
    </row>
    <row r="32" spans="1:12" ht="30.75">
      <c r="A32" s="125">
        <v>2025</v>
      </c>
      <c r="B32" s="126" t="s">
        <v>624</v>
      </c>
      <c r="C32" s="110">
        <v>10</v>
      </c>
      <c r="D32" s="127" t="s">
        <v>599</v>
      </c>
      <c r="E32" s="127"/>
      <c r="F32" s="110">
        <v>1</v>
      </c>
      <c r="G32" s="126" t="s">
        <v>588</v>
      </c>
      <c r="H32" s="110" t="s">
        <v>640</v>
      </c>
      <c r="I32" s="111" t="s">
        <v>627</v>
      </c>
      <c r="J32" s="127" t="s">
        <v>614</v>
      </c>
      <c r="K32" s="114"/>
      <c r="L32" s="114"/>
    </row>
    <row r="33" spans="1:12">
      <c r="A33" s="125">
        <v>2025</v>
      </c>
      <c r="B33" s="126" t="s">
        <v>624</v>
      </c>
      <c r="C33" s="110">
        <v>13</v>
      </c>
      <c r="D33" s="127" t="s">
        <v>606</v>
      </c>
      <c r="E33" s="127"/>
      <c r="F33" s="110">
        <v>1</v>
      </c>
      <c r="G33" s="126" t="s">
        <v>588</v>
      </c>
      <c r="H33" s="110" t="s">
        <v>640</v>
      </c>
      <c r="I33" s="111" t="s">
        <v>642</v>
      </c>
      <c r="J33" s="127" t="s">
        <v>643</v>
      </c>
      <c r="K33" s="114"/>
      <c r="L33" s="114"/>
    </row>
    <row r="34" spans="1:12">
      <c r="A34" s="125">
        <v>2025</v>
      </c>
      <c r="B34" s="126" t="s">
        <v>624</v>
      </c>
      <c r="C34" s="110">
        <v>8</v>
      </c>
      <c r="D34" s="127" t="s">
        <v>634</v>
      </c>
      <c r="E34" s="127"/>
      <c r="F34" s="110">
        <v>1</v>
      </c>
      <c r="G34" s="126" t="s">
        <v>588</v>
      </c>
      <c r="H34" s="110" t="s">
        <v>644</v>
      </c>
      <c r="I34" s="111" t="s">
        <v>627</v>
      </c>
      <c r="J34" s="127" t="s">
        <v>645</v>
      </c>
      <c r="K34" s="114"/>
      <c r="L34" s="114"/>
    </row>
    <row r="35" spans="1:12">
      <c r="A35" s="125">
        <v>2025</v>
      </c>
      <c r="B35" s="126" t="s">
        <v>624</v>
      </c>
      <c r="C35" s="110">
        <v>13</v>
      </c>
      <c r="D35" s="127" t="s">
        <v>606</v>
      </c>
      <c r="E35" s="127"/>
      <c r="F35" s="110">
        <v>1</v>
      </c>
      <c r="G35" s="126" t="s">
        <v>588</v>
      </c>
      <c r="H35" s="110" t="s">
        <v>644</v>
      </c>
      <c r="I35" s="111" t="s">
        <v>642</v>
      </c>
      <c r="J35" s="127" t="s">
        <v>646</v>
      </c>
      <c r="K35" s="114"/>
      <c r="L35" s="114"/>
    </row>
    <row r="36" spans="1:12" ht="30.75">
      <c r="A36" s="125">
        <v>2025</v>
      </c>
      <c r="B36" s="126" t="s">
        <v>624</v>
      </c>
      <c r="C36" s="110">
        <v>40</v>
      </c>
      <c r="D36" s="127" t="s">
        <v>647</v>
      </c>
      <c r="E36" s="127"/>
      <c r="F36" s="110">
        <v>1</v>
      </c>
      <c r="G36" s="126" t="s">
        <v>588</v>
      </c>
      <c r="H36" s="110" t="s">
        <v>644</v>
      </c>
      <c r="I36" s="111" t="s">
        <v>636</v>
      </c>
      <c r="J36" s="127" t="s">
        <v>648</v>
      </c>
      <c r="K36" s="114"/>
      <c r="L36" s="114"/>
    </row>
    <row r="37" spans="1:12" ht="198">
      <c r="A37" s="125">
        <v>2025</v>
      </c>
      <c r="B37" s="126" t="s">
        <v>649</v>
      </c>
      <c r="C37" s="110">
        <v>0</v>
      </c>
      <c r="D37" s="127" t="s">
        <v>585</v>
      </c>
      <c r="E37" s="127" t="s">
        <v>586</v>
      </c>
      <c r="F37" s="110">
        <v>0</v>
      </c>
      <c r="G37" s="126"/>
      <c r="H37" s="110"/>
      <c r="I37" s="111"/>
      <c r="J37" s="127"/>
      <c r="K37" s="43"/>
      <c r="L37" s="43"/>
    </row>
    <row r="38" spans="1:12">
      <c r="A38" s="125">
        <v>2025</v>
      </c>
      <c r="B38" s="126" t="s">
        <v>649</v>
      </c>
      <c r="C38" s="110">
        <v>1</v>
      </c>
      <c r="D38" s="127" t="s">
        <v>587</v>
      </c>
      <c r="E38" s="127"/>
      <c r="F38" s="110">
        <v>1</v>
      </c>
      <c r="G38" s="127" t="s">
        <v>588</v>
      </c>
      <c r="H38" s="110"/>
      <c r="I38" s="111">
        <v>1</v>
      </c>
      <c r="J38" s="127" t="s">
        <v>589</v>
      </c>
      <c r="K38" s="43"/>
      <c r="L38" s="43"/>
    </row>
    <row r="39" spans="1:12" ht="137.25">
      <c r="A39" s="125">
        <v>2025</v>
      </c>
      <c r="B39" s="126" t="s">
        <v>649</v>
      </c>
      <c r="C39" s="110">
        <v>2</v>
      </c>
      <c r="D39" s="127" t="s">
        <v>590</v>
      </c>
      <c r="E39" s="127"/>
      <c r="F39" s="110">
        <v>1</v>
      </c>
      <c r="G39" s="127" t="s">
        <v>650</v>
      </c>
      <c r="H39" s="110"/>
      <c r="I39" s="111">
        <v>11</v>
      </c>
      <c r="J39" s="127" t="s">
        <v>651</v>
      </c>
      <c r="K39" s="43"/>
      <c r="L39" s="43"/>
    </row>
    <row r="40" spans="1:12">
      <c r="A40" s="125">
        <v>2025</v>
      </c>
      <c r="B40" s="126" t="s">
        <v>649</v>
      </c>
      <c r="C40" s="110">
        <v>4</v>
      </c>
      <c r="D40" s="127" t="s">
        <v>594</v>
      </c>
      <c r="E40" s="127"/>
      <c r="F40" s="110">
        <v>1</v>
      </c>
      <c r="G40" s="126" t="s">
        <v>588</v>
      </c>
      <c r="H40" s="110"/>
      <c r="I40" s="111">
        <v>6</v>
      </c>
      <c r="J40" s="127" t="s">
        <v>595</v>
      </c>
      <c r="K40" s="43"/>
      <c r="L40" s="43"/>
    </row>
    <row r="41" spans="1:12" ht="45.75">
      <c r="A41" s="125">
        <v>2025</v>
      </c>
      <c r="B41" s="126" t="s">
        <v>649</v>
      </c>
      <c r="C41" s="110">
        <v>6</v>
      </c>
      <c r="D41" s="127" t="s">
        <v>596</v>
      </c>
      <c r="E41" s="127"/>
      <c r="F41" s="110">
        <v>1</v>
      </c>
      <c r="G41" s="127" t="s">
        <v>652</v>
      </c>
      <c r="H41" s="110"/>
      <c r="I41" s="111">
        <v>6</v>
      </c>
      <c r="J41" s="127" t="s">
        <v>598</v>
      </c>
      <c r="K41" s="43"/>
      <c r="L41" s="43"/>
    </row>
    <row r="42" spans="1:12" ht="30.75">
      <c r="A42" s="125">
        <v>2025</v>
      </c>
      <c r="B42" s="126" t="s">
        <v>649</v>
      </c>
      <c r="C42" s="110">
        <v>10</v>
      </c>
      <c r="D42" s="127" t="s">
        <v>599</v>
      </c>
      <c r="E42" s="127"/>
      <c r="F42" s="110">
        <v>1</v>
      </c>
      <c r="G42" s="127" t="s">
        <v>619</v>
      </c>
      <c r="H42" s="110"/>
      <c r="I42" s="111">
        <v>6</v>
      </c>
      <c r="J42" s="127" t="s">
        <v>601</v>
      </c>
      <c r="K42" s="43"/>
      <c r="L42" s="43"/>
    </row>
    <row r="43" spans="1:12">
      <c r="A43" s="125">
        <v>2025</v>
      </c>
      <c r="B43" s="126" t="s">
        <v>649</v>
      </c>
      <c r="C43" s="110">
        <v>12</v>
      </c>
      <c r="D43" s="127" t="s">
        <v>602</v>
      </c>
      <c r="E43" s="127"/>
      <c r="F43" s="110">
        <v>1</v>
      </c>
      <c r="G43" s="126" t="s">
        <v>653</v>
      </c>
      <c r="H43" s="110"/>
      <c r="I43" s="111">
        <v>8</v>
      </c>
      <c r="J43" s="127" t="s">
        <v>654</v>
      </c>
      <c r="K43" s="43"/>
      <c r="L43" s="43"/>
    </row>
    <row r="44" spans="1:12" ht="106.5">
      <c r="A44" s="125">
        <v>2025</v>
      </c>
      <c r="B44" s="126" t="s">
        <v>649</v>
      </c>
      <c r="C44" s="110">
        <v>13</v>
      </c>
      <c r="D44" s="127" t="s">
        <v>606</v>
      </c>
      <c r="E44" s="127"/>
      <c r="F44" s="110">
        <v>1</v>
      </c>
      <c r="G44" s="127" t="s">
        <v>655</v>
      </c>
      <c r="H44" s="110"/>
      <c r="I44" s="111">
        <v>8</v>
      </c>
      <c r="J44" s="127" t="s">
        <v>656</v>
      </c>
      <c r="K44" s="43"/>
      <c r="L44" s="43"/>
    </row>
    <row r="45" spans="1:12" ht="396.75">
      <c r="A45" s="125">
        <v>2025</v>
      </c>
      <c r="B45" s="126" t="s">
        <v>649</v>
      </c>
      <c r="C45" s="110">
        <v>14</v>
      </c>
      <c r="D45" s="127" t="s">
        <v>609</v>
      </c>
      <c r="E45" s="127"/>
      <c r="F45" s="110">
        <v>1</v>
      </c>
      <c r="G45" s="127" t="s">
        <v>610</v>
      </c>
      <c r="H45" s="110"/>
      <c r="I45" s="111">
        <v>14</v>
      </c>
      <c r="J45" s="127" t="s">
        <v>657</v>
      </c>
      <c r="K45" s="43"/>
      <c r="L45" s="43"/>
    </row>
    <row r="46" spans="1:12" ht="409.6">
      <c r="A46" s="125">
        <v>2025</v>
      </c>
      <c r="B46" s="126" t="s">
        <v>658</v>
      </c>
      <c r="C46" s="110">
        <v>0</v>
      </c>
      <c r="D46" s="127" t="s">
        <v>585</v>
      </c>
      <c r="E46" s="127" t="s">
        <v>659</v>
      </c>
      <c r="F46" s="110">
        <v>0</v>
      </c>
      <c r="G46" s="126"/>
      <c r="H46" s="110"/>
      <c r="I46" s="111"/>
      <c r="J46" s="127"/>
      <c r="K46" s="43"/>
      <c r="L46" s="43"/>
    </row>
    <row r="47" spans="1:12">
      <c r="A47" s="125">
        <v>2025</v>
      </c>
      <c r="B47" s="126" t="s">
        <v>658</v>
      </c>
      <c r="C47" s="110">
        <v>4</v>
      </c>
      <c r="D47" s="127" t="s">
        <v>594</v>
      </c>
      <c r="E47" s="127"/>
      <c r="F47" s="110">
        <v>1</v>
      </c>
      <c r="G47" s="126" t="s">
        <v>588</v>
      </c>
      <c r="H47" s="110"/>
      <c r="I47" s="111">
        <v>6</v>
      </c>
      <c r="J47" s="127" t="s">
        <v>595</v>
      </c>
      <c r="K47" s="43"/>
      <c r="L47" s="43"/>
    </row>
    <row r="48" spans="1:12" ht="45.75">
      <c r="A48" s="125">
        <v>2025</v>
      </c>
      <c r="B48" s="126" t="s">
        <v>658</v>
      </c>
      <c r="C48" s="110">
        <v>5</v>
      </c>
      <c r="D48" s="127" t="s">
        <v>660</v>
      </c>
      <c r="E48" s="127"/>
      <c r="F48" s="110">
        <v>1</v>
      </c>
      <c r="G48" s="127" t="s">
        <v>661</v>
      </c>
      <c r="H48" s="110"/>
      <c r="I48" s="111">
        <v>3</v>
      </c>
      <c r="J48" s="127" t="s">
        <v>662</v>
      </c>
      <c r="K48" s="43"/>
      <c r="L48" s="43"/>
    </row>
    <row r="49" spans="1:12">
      <c r="A49" s="125">
        <v>2025</v>
      </c>
      <c r="B49" s="126" t="s">
        <v>658</v>
      </c>
      <c r="C49" s="110">
        <v>8</v>
      </c>
      <c r="D49" s="127" t="s">
        <v>634</v>
      </c>
      <c r="E49" s="127"/>
      <c r="F49" s="110">
        <v>1</v>
      </c>
      <c r="G49" s="126" t="s">
        <v>620</v>
      </c>
      <c r="H49" s="110"/>
      <c r="I49" s="111">
        <v>3</v>
      </c>
      <c r="J49" s="127" t="s">
        <v>663</v>
      </c>
      <c r="K49" s="43"/>
      <c r="L49" s="43"/>
    </row>
    <row r="50" spans="1:12" ht="30.75">
      <c r="A50" s="125">
        <v>2025</v>
      </c>
      <c r="B50" s="126" t="s">
        <v>658</v>
      </c>
      <c r="C50" s="110">
        <v>10</v>
      </c>
      <c r="D50" s="127" t="s">
        <v>599</v>
      </c>
      <c r="E50" s="127"/>
      <c r="F50" s="110">
        <v>1</v>
      </c>
      <c r="G50" s="126" t="s">
        <v>620</v>
      </c>
      <c r="H50" s="110"/>
      <c r="I50" s="111">
        <v>3</v>
      </c>
      <c r="J50" s="127" t="s">
        <v>664</v>
      </c>
      <c r="K50" s="43"/>
      <c r="L50" s="43"/>
    </row>
    <row r="51" spans="1:12">
      <c r="A51" s="125">
        <v>2025</v>
      </c>
      <c r="B51" s="126" t="s">
        <v>658</v>
      </c>
      <c r="C51" s="110">
        <v>12</v>
      </c>
      <c r="D51" s="127" t="s">
        <v>602</v>
      </c>
      <c r="E51" s="127"/>
      <c r="F51" s="110">
        <v>1</v>
      </c>
      <c r="G51" s="126" t="s">
        <v>588</v>
      </c>
      <c r="H51" s="110"/>
      <c r="I51" s="111">
        <v>16</v>
      </c>
      <c r="J51" s="127" t="s">
        <v>665</v>
      </c>
      <c r="K51" s="43"/>
      <c r="L51" s="43"/>
    </row>
    <row r="52" spans="1:12" ht="91.5">
      <c r="A52" s="125">
        <v>2025</v>
      </c>
      <c r="B52" s="126" t="s">
        <v>658</v>
      </c>
      <c r="C52" s="110">
        <v>13</v>
      </c>
      <c r="D52" s="127" t="s">
        <v>606</v>
      </c>
      <c r="E52" s="127"/>
      <c r="F52" s="110">
        <v>1</v>
      </c>
      <c r="G52" s="127" t="s">
        <v>666</v>
      </c>
      <c r="H52" s="110"/>
      <c r="I52" s="111">
        <v>29</v>
      </c>
      <c r="J52" s="127" t="s">
        <v>667</v>
      </c>
      <c r="K52" s="43"/>
      <c r="L52" s="43"/>
    </row>
    <row r="53" spans="1:12" ht="91.5">
      <c r="A53" s="125">
        <v>2025</v>
      </c>
      <c r="B53" s="126" t="s">
        <v>658</v>
      </c>
      <c r="C53" s="110">
        <v>13</v>
      </c>
      <c r="D53" s="127" t="s">
        <v>606</v>
      </c>
      <c r="E53" s="127"/>
      <c r="F53" s="110">
        <v>2</v>
      </c>
      <c r="G53" s="127" t="s">
        <v>668</v>
      </c>
      <c r="H53" s="110"/>
      <c r="I53" s="111">
        <v>4</v>
      </c>
      <c r="J53" s="127" t="s">
        <v>669</v>
      </c>
      <c r="K53" s="43"/>
      <c r="L53" s="43"/>
    </row>
    <row r="54" spans="1:12" ht="45.75">
      <c r="A54" s="125">
        <v>2025</v>
      </c>
      <c r="B54" s="126" t="s">
        <v>658</v>
      </c>
      <c r="C54" s="110">
        <v>15</v>
      </c>
      <c r="D54" s="127" t="s">
        <v>670</v>
      </c>
      <c r="E54" s="127"/>
      <c r="F54" s="110">
        <v>1</v>
      </c>
      <c r="G54" s="126" t="s">
        <v>671</v>
      </c>
      <c r="H54" s="110"/>
      <c r="I54" s="111">
        <v>3</v>
      </c>
      <c r="J54" s="127" t="s">
        <v>672</v>
      </c>
      <c r="K54" s="43"/>
      <c r="L54" s="43"/>
    </row>
    <row r="55" spans="1:12" ht="30.75">
      <c r="A55" s="125">
        <v>2025</v>
      </c>
      <c r="B55" s="126" t="s">
        <v>658</v>
      </c>
      <c r="C55" s="110">
        <v>40</v>
      </c>
      <c r="D55" s="127" t="s">
        <v>647</v>
      </c>
      <c r="E55" s="127"/>
      <c r="F55" s="110">
        <v>1</v>
      </c>
      <c r="G55" s="126" t="s">
        <v>588</v>
      </c>
      <c r="H55" s="110"/>
      <c r="I55" s="111">
        <v>1</v>
      </c>
      <c r="J55" s="127" t="s">
        <v>589</v>
      </c>
      <c r="K55" s="43"/>
      <c r="L55" s="43"/>
    </row>
    <row r="56" spans="1:12">
      <c r="A56" s="125">
        <v>2025</v>
      </c>
      <c r="B56" s="126" t="s">
        <v>658</v>
      </c>
      <c r="C56" s="110">
        <v>70</v>
      </c>
      <c r="D56" s="127" t="s">
        <v>673</v>
      </c>
      <c r="E56" s="127"/>
      <c r="F56" s="110">
        <v>1</v>
      </c>
      <c r="G56" s="126" t="s">
        <v>620</v>
      </c>
      <c r="H56" s="110"/>
      <c r="I56" s="111">
        <v>3</v>
      </c>
      <c r="J56" s="127" t="s">
        <v>674</v>
      </c>
      <c r="K56" s="43"/>
      <c r="L56" s="43"/>
    </row>
    <row r="57" spans="1:12">
      <c r="A57" s="125">
        <v>2025</v>
      </c>
      <c r="B57" s="126" t="s">
        <v>658</v>
      </c>
      <c r="C57" s="110">
        <v>72</v>
      </c>
      <c r="D57" s="127" t="s">
        <v>675</v>
      </c>
      <c r="E57" s="127"/>
      <c r="F57" s="110">
        <v>1</v>
      </c>
      <c r="G57" s="126" t="s">
        <v>620</v>
      </c>
      <c r="H57" s="110"/>
      <c r="I57" s="111">
        <v>3</v>
      </c>
      <c r="J57" s="127" t="s">
        <v>676</v>
      </c>
      <c r="K57" s="43"/>
      <c r="L57" s="43"/>
    </row>
    <row r="58" spans="1:12">
      <c r="A58" s="125">
        <v>2025</v>
      </c>
      <c r="B58" s="126" t="s">
        <v>658</v>
      </c>
      <c r="C58" s="110">
        <v>76</v>
      </c>
      <c r="D58" s="127" t="s">
        <v>677</v>
      </c>
      <c r="E58" s="127"/>
      <c r="F58" s="110">
        <v>1</v>
      </c>
      <c r="G58" s="126" t="s">
        <v>620</v>
      </c>
      <c r="H58" s="110"/>
      <c r="I58" s="111">
        <v>3</v>
      </c>
      <c r="J58" s="127" t="s">
        <v>678</v>
      </c>
      <c r="K58" s="43"/>
      <c r="L58" s="43"/>
    </row>
    <row r="59" spans="1:12" ht="305.25">
      <c r="A59" s="125">
        <v>2025</v>
      </c>
      <c r="B59" s="126" t="s">
        <v>679</v>
      </c>
      <c r="C59" s="110">
        <v>0</v>
      </c>
      <c r="D59" s="127" t="s">
        <v>585</v>
      </c>
      <c r="E59" s="127" t="s">
        <v>613</v>
      </c>
      <c r="F59" s="110">
        <v>0</v>
      </c>
      <c r="G59" s="126"/>
      <c r="H59" s="110"/>
      <c r="I59" s="111"/>
      <c r="J59" s="127"/>
      <c r="K59" s="43"/>
      <c r="L59" s="43"/>
    </row>
    <row r="60" spans="1:12">
      <c r="A60" s="125">
        <v>2025</v>
      </c>
      <c r="B60" s="126" t="s">
        <v>679</v>
      </c>
      <c r="C60" s="110">
        <v>1</v>
      </c>
      <c r="D60" s="127" t="s">
        <v>587</v>
      </c>
      <c r="E60" s="127"/>
      <c r="F60" s="110">
        <v>1</v>
      </c>
      <c r="G60" s="127" t="s">
        <v>588</v>
      </c>
      <c r="H60" s="110"/>
      <c r="I60" s="111">
        <v>1</v>
      </c>
      <c r="J60" s="127" t="s">
        <v>589</v>
      </c>
      <c r="K60" s="43"/>
      <c r="L60" s="43"/>
    </row>
    <row r="61" spans="1:12">
      <c r="A61" s="125">
        <v>2025</v>
      </c>
      <c r="B61" s="126" t="s">
        <v>679</v>
      </c>
      <c r="C61" s="110">
        <v>2</v>
      </c>
      <c r="D61" s="127" t="s">
        <v>590</v>
      </c>
      <c r="E61" s="127"/>
      <c r="F61" s="110">
        <v>1</v>
      </c>
      <c r="G61" s="126" t="s">
        <v>588</v>
      </c>
      <c r="H61" s="110"/>
      <c r="I61" s="111">
        <v>3</v>
      </c>
      <c r="J61" s="127" t="s">
        <v>614</v>
      </c>
      <c r="K61" s="43"/>
      <c r="L61" s="43"/>
    </row>
    <row r="62" spans="1:12" ht="137.25">
      <c r="A62" s="125">
        <v>2025</v>
      </c>
      <c r="B62" s="126" t="s">
        <v>679</v>
      </c>
      <c r="C62" s="110">
        <v>2</v>
      </c>
      <c r="D62" s="127" t="s">
        <v>590</v>
      </c>
      <c r="E62" s="127"/>
      <c r="F62" s="110">
        <v>1</v>
      </c>
      <c r="G62" s="127" t="s">
        <v>680</v>
      </c>
      <c r="H62" s="110"/>
      <c r="I62" s="111" t="s">
        <v>681</v>
      </c>
      <c r="J62" s="127" t="s">
        <v>682</v>
      </c>
      <c r="K62" s="43"/>
      <c r="L62" s="43"/>
    </row>
    <row r="63" spans="1:12">
      <c r="A63" s="125">
        <v>2025</v>
      </c>
      <c r="B63" s="126" t="s">
        <v>679</v>
      </c>
      <c r="C63" s="110">
        <v>4</v>
      </c>
      <c r="D63" s="127" t="s">
        <v>594</v>
      </c>
      <c r="E63" s="127"/>
      <c r="F63" s="110">
        <v>1</v>
      </c>
      <c r="G63" s="126" t="s">
        <v>588</v>
      </c>
      <c r="H63" s="110"/>
      <c r="I63" s="111">
        <v>6</v>
      </c>
      <c r="J63" s="127" t="s">
        <v>595</v>
      </c>
      <c r="K63" s="43"/>
      <c r="L63" s="43"/>
    </row>
    <row r="64" spans="1:12" ht="45.75">
      <c r="A64" s="125">
        <v>2025</v>
      </c>
      <c r="B64" s="126" t="s">
        <v>679</v>
      </c>
      <c r="C64" s="110">
        <v>6</v>
      </c>
      <c r="D64" s="127" t="s">
        <v>596</v>
      </c>
      <c r="E64" s="127"/>
      <c r="F64" s="110">
        <v>1</v>
      </c>
      <c r="G64" s="127" t="s">
        <v>652</v>
      </c>
      <c r="H64" s="110"/>
      <c r="I64" s="111">
        <v>6</v>
      </c>
      <c r="J64" s="127" t="s">
        <v>598</v>
      </c>
      <c r="K64" s="43"/>
      <c r="L64" s="43"/>
    </row>
    <row r="65" spans="1:12" ht="30.75">
      <c r="A65" s="125">
        <v>2025</v>
      </c>
      <c r="B65" s="126" t="s">
        <v>679</v>
      </c>
      <c r="C65" s="110">
        <v>10</v>
      </c>
      <c r="D65" s="127" t="s">
        <v>599</v>
      </c>
      <c r="E65" s="127"/>
      <c r="F65" s="110">
        <v>1</v>
      </c>
      <c r="G65" s="126" t="s">
        <v>620</v>
      </c>
      <c r="H65" s="110"/>
      <c r="I65" s="111">
        <v>3</v>
      </c>
      <c r="J65" s="127" t="s">
        <v>601</v>
      </c>
      <c r="K65" s="43"/>
      <c r="L65" s="43"/>
    </row>
    <row r="66" spans="1:12">
      <c r="A66" s="125">
        <v>2025</v>
      </c>
      <c r="B66" s="126" t="s">
        <v>679</v>
      </c>
      <c r="C66" s="110">
        <v>12</v>
      </c>
      <c r="D66" s="127" t="s">
        <v>602</v>
      </c>
      <c r="E66" s="127"/>
      <c r="F66" s="110">
        <v>1</v>
      </c>
      <c r="G66" s="126" t="s">
        <v>653</v>
      </c>
      <c r="H66" s="110"/>
      <c r="I66" s="111">
        <v>8</v>
      </c>
      <c r="J66" s="127" t="s">
        <v>654</v>
      </c>
      <c r="K66" s="43"/>
      <c r="L66" s="43"/>
    </row>
    <row r="67" spans="1:12" ht="106.5">
      <c r="A67" s="125">
        <v>2025</v>
      </c>
      <c r="B67" s="126" t="s">
        <v>679</v>
      </c>
      <c r="C67" s="110">
        <v>13</v>
      </c>
      <c r="D67" s="127" t="s">
        <v>606</v>
      </c>
      <c r="E67" s="127"/>
      <c r="F67" s="110">
        <v>1</v>
      </c>
      <c r="G67" s="127" t="s">
        <v>655</v>
      </c>
      <c r="H67" s="110"/>
      <c r="I67" s="111">
        <v>8</v>
      </c>
      <c r="J67" s="127" t="s">
        <v>656</v>
      </c>
      <c r="K67" s="43"/>
      <c r="L67" s="43"/>
    </row>
    <row r="68" spans="1:12" ht="167.25">
      <c r="A68" s="125">
        <v>2025</v>
      </c>
      <c r="B68" s="126" t="s">
        <v>679</v>
      </c>
      <c r="C68" s="110">
        <v>75</v>
      </c>
      <c r="D68" s="127" t="s">
        <v>621</v>
      </c>
      <c r="E68" s="127"/>
      <c r="F68" s="110">
        <v>1</v>
      </c>
      <c r="G68" s="127" t="s">
        <v>683</v>
      </c>
      <c r="H68" s="110"/>
      <c r="I68" s="111">
        <v>14</v>
      </c>
      <c r="J68" s="127" t="s">
        <v>623</v>
      </c>
      <c r="K68" s="43"/>
      <c r="L68" s="43"/>
    </row>
    <row r="69" spans="1:12" ht="305.25">
      <c r="A69" s="125">
        <v>2025</v>
      </c>
      <c r="B69" s="126" t="s">
        <v>684</v>
      </c>
      <c r="C69" s="110">
        <v>0</v>
      </c>
      <c r="D69" s="127" t="s">
        <v>585</v>
      </c>
      <c r="E69" s="128" t="s">
        <v>685</v>
      </c>
      <c r="F69" s="110">
        <v>0</v>
      </c>
      <c r="G69" s="126"/>
      <c r="H69" s="110"/>
      <c r="I69" s="111"/>
      <c r="J69" s="127"/>
      <c r="K69" s="43"/>
      <c r="L69" s="43"/>
    </row>
    <row r="70" spans="1:12">
      <c r="A70" s="125">
        <v>2025</v>
      </c>
      <c r="B70" s="126" t="s">
        <v>684</v>
      </c>
      <c r="C70" s="110">
        <v>1</v>
      </c>
      <c r="D70" s="127" t="s">
        <v>587</v>
      </c>
      <c r="E70" s="127"/>
      <c r="F70" s="110">
        <v>1</v>
      </c>
      <c r="G70" s="127" t="s">
        <v>588</v>
      </c>
      <c r="H70" s="110"/>
      <c r="I70" s="111">
        <v>1</v>
      </c>
      <c r="J70" s="127" t="s">
        <v>589</v>
      </c>
      <c r="K70" s="43"/>
      <c r="L70" s="43"/>
    </row>
    <row r="71" spans="1:12">
      <c r="A71" s="125">
        <v>2025</v>
      </c>
      <c r="B71" s="126" t="s">
        <v>684</v>
      </c>
      <c r="C71" s="110">
        <v>4</v>
      </c>
      <c r="D71" s="127" t="s">
        <v>594</v>
      </c>
      <c r="E71" s="127"/>
      <c r="F71" s="110">
        <v>1</v>
      </c>
      <c r="G71" s="126" t="s">
        <v>588</v>
      </c>
      <c r="H71" s="110"/>
      <c r="I71" s="111">
        <v>6</v>
      </c>
      <c r="J71" s="127" t="s">
        <v>595</v>
      </c>
      <c r="K71" s="43"/>
      <c r="L71" s="43"/>
    </row>
    <row r="72" spans="1:12" ht="30.75">
      <c r="A72" s="125">
        <v>2025</v>
      </c>
      <c r="B72" s="126" t="s">
        <v>684</v>
      </c>
      <c r="C72" s="110">
        <v>7</v>
      </c>
      <c r="D72" s="127" t="s">
        <v>686</v>
      </c>
      <c r="E72" s="127"/>
      <c r="F72" s="110">
        <v>2</v>
      </c>
      <c r="G72" s="126" t="s">
        <v>620</v>
      </c>
      <c r="H72" s="110"/>
      <c r="I72" s="111">
        <v>3</v>
      </c>
      <c r="J72" s="127" t="s">
        <v>687</v>
      </c>
      <c r="K72" s="43"/>
      <c r="L72" s="43"/>
    </row>
    <row r="73" spans="1:12" ht="30.75">
      <c r="A73" s="125">
        <v>2025</v>
      </c>
      <c r="B73" s="126" t="s">
        <v>684</v>
      </c>
      <c r="C73" s="110">
        <v>10</v>
      </c>
      <c r="D73" s="127" t="s">
        <v>599</v>
      </c>
      <c r="E73" s="127"/>
      <c r="F73" s="110">
        <v>1</v>
      </c>
      <c r="G73" s="126" t="s">
        <v>588</v>
      </c>
      <c r="H73" s="110"/>
      <c r="I73" s="111">
        <v>3</v>
      </c>
      <c r="J73" s="127" t="s">
        <v>688</v>
      </c>
      <c r="K73" s="43"/>
      <c r="L73" s="43"/>
    </row>
    <row r="74" spans="1:12" ht="30.75">
      <c r="A74" s="125">
        <v>2025</v>
      </c>
      <c r="B74" s="126" t="s">
        <v>684</v>
      </c>
      <c r="C74" s="110">
        <v>10</v>
      </c>
      <c r="D74" s="127" t="s">
        <v>599</v>
      </c>
      <c r="E74" s="127"/>
      <c r="F74" s="110">
        <v>2</v>
      </c>
      <c r="G74" s="126" t="s">
        <v>620</v>
      </c>
      <c r="H74" s="110"/>
      <c r="I74" s="111">
        <v>3</v>
      </c>
      <c r="J74" s="127" t="s">
        <v>689</v>
      </c>
      <c r="K74" s="43"/>
      <c r="L74" s="43"/>
    </row>
    <row r="75" spans="1:12">
      <c r="A75" s="125">
        <v>2025</v>
      </c>
      <c r="B75" s="126" t="s">
        <v>684</v>
      </c>
      <c r="C75" s="110">
        <v>12</v>
      </c>
      <c r="D75" s="127" t="s">
        <v>602</v>
      </c>
      <c r="E75" s="127"/>
      <c r="F75" s="110">
        <v>1</v>
      </c>
      <c r="G75" s="126" t="s">
        <v>588</v>
      </c>
      <c r="H75" s="110"/>
      <c r="I75" s="111">
        <v>12</v>
      </c>
      <c r="J75" s="127" t="s">
        <v>690</v>
      </c>
      <c r="K75" s="43"/>
      <c r="L75" s="43"/>
    </row>
    <row r="76" spans="1:12">
      <c r="A76" s="125">
        <v>2025</v>
      </c>
      <c r="B76" s="126" t="s">
        <v>684</v>
      </c>
      <c r="C76" s="110">
        <v>13</v>
      </c>
      <c r="D76" s="127" t="s">
        <v>606</v>
      </c>
      <c r="E76" s="127"/>
      <c r="F76" s="110">
        <v>1</v>
      </c>
      <c r="G76" s="126" t="s">
        <v>588</v>
      </c>
      <c r="H76" s="110"/>
      <c r="I76" s="111">
        <v>12</v>
      </c>
      <c r="J76" s="127" t="s">
        <v>691</v>
      </c>
      <c r="K76" s="43"/>
      <c r="L76" s="43"/>
    </row>
    <row r="77" spans="1:12" ht="30.75">
      <c r="A77" s="125">
        <v>2025</v>
      </c>
      <c r="B77" s="126" t="s">
        <v>684</v>
      </c>
      <c r="C77" s="110">
        <v>14</v>
      </c>
      <c r="D77" s="127" t="s">
        <v>609</v>
      </c>
      <c r="E77" s="127"/>
      <c r="F77" s="110">
        <v>1</v>
      </c>
      <c r="G77" s="127" t="s">
        <v>588</v>
      </c>
      <c r="H77" s="110"/>
      <c r="I77" s="111">
        <v>2</v>
      </c>
      <c r="J77" s="127" t="s">
        <v>692</v>
      </c>
      <c r="K77" s="43"/>
      <c r="L77" s="43"/>
    </row>
    <row r="78" spans="1:12" ht="45.75">
      <c r="A78" s="125">
        <v>2025</v>
      </c>
      <c r="B78" s="126" t="s">
        <v>684</v>
      </c>
      <c r="C78" s="110">
        <v>14</v>
      </c>
      <c r="D78" s="127" t="s">
        <v>609</v>
      </c>
      <c r="E78" s="127"/>
      <c r="F78" s="110">
        <v>1</v>
      </c>
      <c r="G78" s="127" t="s">
        <v>693</v>
      </c>
      <c r="H78" s="110"/>
      <c r="I78" s="111">
        <v>15</v>
      </c>
      <c r="J78" s="127" t="s">
        <v>694</v>
      </c>
      <c r="K78" s="43"/>
      <c r="L78" s="43"/>
    </row>
    <row r="79" spans="1:12" ht="30.75">
      <c r="A79" s="125">
        <v>2025</v>
      </c>
      <c r="B79" s="126" t="s">
        <v>684</v>
      </c>
      <c r="C79" s="110">
        <v>71</v>
      </c>
      <c r="D79" s="127" t="s">
        <v>695</v>
      </c>
      <c r="E79" s="127"/>
      <c r="F79" s="110">
        <v>1</v>
      </c>
      <c r="G79" s="126" t="s">
        <v>620</v>
      </c>
      <c r="H79" s="110"/>
      <c r="I79" s="111">
        <v>3</v>
      </c>
      <c r="J79" s="127" t="s">
        <v>696</v>
      </c>
      <c r="K79" s="43"/>
      <c r="L79" s="43"/>
    </row>
    <row r="80" spans="1:12" ht="305.25">
      <c r="A80" s="125">
        <v>2025</v>
      </c>
      <c r="B80" s="126" t="s">
        <v>697</v>
      </c>
      <c r="C80" s="110">
        <v>0</v>
      </c>
      <c r="D80" s="127" t="s">
        <v>585</v>
      </c>
      <c r="E80" s="128" t="s">
        <v>698</v>
      </c>
      <c r="F80" s="110">
        <v>0</v>
      </c>
      <c r="G80" s="126"/>
      <c r="H80" s="110"/>
      <c r="I80" s="111"/>
      <c r="J80" s="127"/>
      <c r="K80" s="43"/>
      <c r="L80" s="43"/>
    </row>
    <row r="81" spans="1:12">
      <c r="A81" s="125">
        <v>2025</v>
      </c>
      <c r="B81" s="126" t="s">
        <v>697</v>
      </c>
      <c r="C81" s="110">
        <v>1</v>
      </c>
      <c r="D81" s="127" t="s">
        <v>587</v>
      </c>
      <c r="E81" s="127"/>
      <c r="F81" s="110">
        <v>1</v>
      </c>
      <c r="G81" s="127" t="s">
        <v>588</v>
      </c>
      <c r="H81" s="110"/>
      <c r="I81" s="111">
        <v>1</v>
      </c>
      <c r="J81" s="127" t="s">
        <v>589</v>
      </c>
      <c r="K81" s="43"/>
      <c r="L81" s="43"/>
    </row>
    <row r="82" spans="1:12">
      <c r="A82" s="125">
        <v>2025</v>
      </c>
      <c r="B82" s="126" t="s">
        <v>697</v>
      </c>
      <c r="C82" s="110">
        <v>2</v>
      </c>
      <c r="D82" s="127" t="s">
        <v>590</v>
      </c>
      <c r="E82" s="127"/>
      <c r="F82" s="110">
        <v>1</v>
      </c>
      <c r="G82" s="126" t="s">
        <v>588</v>
      </c>
      <c r="H82" s="110"/>
      <c r="I82" s="111">
        <v>15</v>
      </c>
      <c r="J82" s="127" t="s">
        <v>699</v>
      </c>
      <c r="K82" s="43"/>
      <c r="L82" s="43"/>
    </row>
    <row r="83" spans="1:12">
      <c r="A83" s="125">
        <v>2025</v>
      </c>
      <c r="B83" s="126" t="s">
        <v>697</v>
      </c>
      <c r="C83" s="110">
        <v>4</v>
      </c>
      <c r="D83" s="127" t="s">
        <v>594</v>
      </c>
      <c r="E83" s="127"/>
      <c r="F83" s="110">
        <v>1</v>
      </c>
      <c r="G83" s="126" t="s">
        <v>588</v>
      </c>
      <c r="H83" s="110"/>
      <c r="I83" s="111">
        <v>6</v>
      </c>
      <c r="J83" s="127" t="s">
        <v>595</v>
      </c>
      <c r="K83" s="43"/>
      <c r="L83" s="43"/>
    </row>
    <row r="84" spans="1:12" ht="30.75">
      <c r="A84" s="125">
        <v>2025</v>
      </c>
      <c r="B84" s="126" t="s">
        <v>697</v>
      </c>
      <c r="C84" s="110">
        <v>6</v>
      </c>
      <c r="D84" s="127" t="s">
        <v>596</v>
      </c>
      <c r="E84" s="127"/>
      <c r="F84" s="110">
        <v>1</v>
      </c>
      <c r="G84" s="127" t="s">
        <v>652</v>
      </c>
      <c r="H84" s="110"/>
      <c r="I84" s="111">
        <v>6</v>
      </c>
      <c r="J84" s="127" t="s">
        <v>700</v>
      </c>
      <c r="K84" s="43"/>
      <c r="L84" s="43"/>
    </row>
    <row r="85" spans="1:12" ht="30.75">
      <c r="A85" s="125">
        <v>2025</v>
      </c>
      <c r="B85" s="126" t="s">
        <v>697</v>
      </c>
      <c r="C85" s="110">
        <v>10</v>
      </c>
      <c r="D85" s="127" t="s">
        <v>599</v>
      </c>
      <c r="E85" s="127"/>
      <c r="F85" s="110">
        <v>1</v>
      </c>
      <c r="G85" s="127" t="s">
        <v>619</v>
      </c>
      <c r="H85" s="110"/>
      <c r="I85" s="111">
        <v>6</v>
      </c>
      <c r="J85" s="127" t="s">
        <v>601</v>
      </c>
      <c r="K85" s="43"/>
      <c r="L85" s="43"/>
    </row>
    <row r="86" spans="1:12">
      <c r="A86" s="125">
        <v>2025</v>
      </c>
      <c r="B86" s="126" t="s">
        <v>697</v>
      </c>
      <c r="C86" s="110">
        <v>12</v>
      </c>
      <c r="D86" s="127" t="s">
        <v>602</v>
      </c>
      <c r="E86" s="127"/>
      <c r="F86" s="110">
        <v>1</v>
      </c>
      <c r="G86" s="126" t="s">
        <v>620</v>
      </c>
      <c r="H86" s="110"/>
      <c r="I86" s="111" t="s">
        <v>604</v>
      </c>
      <c r="J86" s="127" t="s">
        <v>701</v>
      </c>
      <c r="K86" s="43"/>
      <c r="L86" s="43"/>
    </row>
    <row r="87" spans="1:12" ht="30.75">
      <c r="A87" s="125">
        <v>2025</v>
      </c>
      <c r="B87" s="126" t="s">
        <v>697</v>
      </c>
      <c r="C87" s="110">
        <v>13</v>
      </c>
      <c r="D87" s="127" t="s">
        <v>606</v>
      </c>
      <c r="E87" s="127"/>
      <c r="F87" s="110">
        <v>1</v>
      </c>
      <c r="G87" s="126" t="s">
        <v>607</v>
      </c>
      <c r="H87" s="110"/>
      <c r="I87" s="111">
        <v>4</v>
      </c>
      <c r="J87" s="127" t="s">
        <v>702</v>
      </c>
      <c r="K87" s="43"/>
      <c r="L87" s="43"/>
    </row>
    <row r="88" spans="1:12" ht="198">
      <c r="A88" s="125">
        <v>2025</v>
      </c>
      <c r="B88" s="126" t="s">
        <v>697</v>
      </c>
      <c r="C88" s="110">
        <v>14</v>
      </c>
      <c r="D88" s="127" t="s">
        <v>609</v>
      </c>
      <c r="E88" s="127"/>
      <c r="F88" s="110">
        <v>1</v>
      </c>
      <c r="G88" s="127" t="s">
        <v>703</v>
      </c>
      <c r="H88" s="110"/>
      <c r="I88" s="111" t="s">
        <v>704</v>
      </c>
      <c r="J88" s="127" t="s">
        <v>705</v>
      </c>
      <c r="K88" s="43"/>
      <c r="L88" s="43"/>
    </row>
    <row r="89" spans="1:12">
      <c r="A89" s="125">
        <v>2025</v>
      </c>
      <c r="B89" s="126" t="s">
        <v>706</v>
      </c>
      <c r="C89" s="110">
        <v>1</v>
      </c>
      <c r="D89" s="127" t="s">
        <v>587</v>
      </c>
      <c r="E89" s="127"/>
      <c r="F89" s="110">
        <v>1</v>
      </c>
      <c r="G89" s="126" t="s">
        <v>588</v>
      </c>
      <c r="H89" s="110" t="s">
        <v>626</v>
      </c>
      <c r="I89" s="111">
        <v>1</v>
      </c>
      <c r="J89" s="126" t="s">
        <v>589</v>
      </c>
      <c r="K89" s="43"/>
      <c r="L89" s="43"/>
    </row>
    <row r="90" spans="1:12">
      <c r="A90" s="125">
        <v>2025</v>
      </c>
      <c r="B90" s="126" t="s">
        <v>706</v>
      </c>
      <c r="C90" s="110">
        <v>2</v>
      </c>
      <c r="D90" s="127" t="s">
        <v>590</v>
      </c>
      <c r="E90" s="127"/>
      <c r="F90" s="110">
        <v>1</v>
      </c>
      <c r="G90" s="126" t="s">
        <v>588</v>
      </c>
      <c r="H90" s="110" t="s">
        <v>626</v>
      </c>
      <c r="I90" s="111">
        <v>3</v>
      </c>
      <c r="J90" s="127" t="s">
        <v>628</v>
      </c>
      <c r="K90" s="43"/>
      <c r="L90" s="43"/>
    </row>
    <row r="91" spans="1:12">
      <c r="A91" s="125">
        <v>2025</v>
      </c>
      <c r="B91" s="126" t="s">
        <v>706</v>
      </c>
      <c r="C91" s="110">
        <v>12</v>
      </c>
      <c r="D91" s="127" t="s">
        <v>602</v>
      </c>
      <c r="E91" s="127"/>
      <c r="F91" s="110">
        <v>1</v>
      </c>
      <c r="G91" s="126" t="s">
        <v>620</v>
      </c>
      <c r="H91" s="110" t="s">
        <v>626</v>
      </c>
      <c r="I91" s="111" t="s">
        <v>604</v>
      </c>
      <c r="J91" s="127" t="s">
        <v>631</v>
      </c>
      <c r="K91" s="43"/>
      <c r="L91" s="43"/>
    </row>
    <row r="92" spans="1:12" ht="60.75">
      <c r="A92" s="125">
        <v>2025</v>
      </c>
      <c r="B92" s="126" t="s">
        <v>706</v>
      </c>
      <c r="C92" s="110">
        <v>20</v>
      </c>
      <c r="D92" s="127" t="s">
        <v>707</v>
      </c>
      <c r="E92" s="127"/>
      <c r="F92" s="110">
        <v>1</v>
      </c>
      <c r="G92" s="127" t="s">
        <v>708</v>
      </c>
      <c r="H92" s="110" t="s">
        <v>626</v>
      </c>
      <c r="I92" s="111">
        <v>9</v>
      </c>
      <c r="J92" s="127" t="s">
        <v>709</v>
      </c>
      <c r="K92" s="43"/>
      <c r="L92" s="43"/>
    </row>
    <row r="93" spans="1:12">
      <c r="A93" s="125">
        <v>2025</v>
      </c>
      <c r="B93" s="126" t="s">
        <v>706</v>
      </c>
      <c r="C93" s="110">
        <v>2</v>
      </c>
      <c r="D93" s="127" t="s">
        <v>590</v>
      </c>
      <c r="E93" s="127"/>
      <c r="F93" s="110">
        <v>2</v>
      </c>
      <c r="G93" s="126" t="s">
        <v>588</v>
      </c>
      <c r="H93" s="110" t="s">
        <v>632</v>
      </c>
      <c r="I93" s="111">
        <v>3</v>
      </c>
      <c r="J93" s="127" t="s">
        <v>633</v>
      </c>
      <c r="K93" s="43"/>
      <c r="L93" s="43"/>
    </row>
    <row r="94" spans="1:12" ht="91.5">
      <c r="A94" s="125">
        <v>2025</v>
      </c>
      <c r="B94" s="126" t="s">
        <v>706</v>
      </c>
      <c r="C94" s="110">
        <v>8</v>
      </c>
      <c r="D94" s="127" t="s">
        <v>634</v>
      </c>
      <c r="E94" s="127"/>
      <c r="F94" s="110">
        <v>2</v>
      </c>
      <c r="G94" s="127" t="s">
        <v>710</v>
      </c>
      <c r="H94" s="110" t="s">
        <v>632</v>
      </c>
      <c r="I94" s="111">
        <v>3</v>
      </c>
      <c r="J94" s="127" t="s">
        <v>711</v>
      </c>
      <c r="K94" s="43"/>
      <c r="L94" s="43"/>
    </row>
    <row r="95" spans="1:12" ht="60.75">
      <c r="A95" s="125">
        <v>2025</v>
      </c>
      <c r="B95" s="126" t="s">
        <v>706</v>
      </c>
      <c r="C95" s="110">
        <v>20</v>
      </c>
      <c r="D95" s="127" t="s">
        <v>707</v>
      </c>
      <c r="E95" s="127"/>
      <c r="F95" s="110">
        <v>2</v>
      </c>
      <c r="G95" s="127" t="s">
        <v>708</v>
      </c>
      <c r="H95" s="110" t="s">
        <v>632</v>
      </c>
      <c r="I95" s="111">
        <v>6</v>
      </c>
      <c r="J95" s="127" t="s">
        <v>712</v>
      </c>
      <c r="K95" s="43"/>
      <c r="L95" s="43"/>
    </row>
    <row r="96" spans="1:12">
      <c r="A96" s="125">
        <v>2025</v>
      </c>
      <c r="B96" s="126" t="s">
        <v>706</v>
      </c>
      <c r="C96" s="110">
        <v>30</v>
      </c>
      <c r="D96" s="127" t="s">
        <v>713</v>
      </c>
      <c r="E96" s="127"/>
      <c r="F96" s="110">
        <v>2</v>
      </c>
      <c r="G96" s="126" t="s">
        <v>588</v>
      </c>
      <c r="H96" s="110" t="s">
        <v>632</v>
      </c>
      <c r="I96" s="111">
        <v>3</v>
      </c>
      <c r="J96" s="127" t="s">
        <v>714</v>
      </c>
      <c r="K96" s="43"/>
      <c r="L96" s="43"/>
    </row>
    <row r="97" spans="1:12" ht="76.5">
      <c r="A97" s="125">
        <v>2025</v>
      </c>
      <c r="B97" s="126" t="s">
        <v>706</v>
      </c>
      <c r="C97" s="110">
        <v>61</v>
      </c>
      <c r="D97" s="127" t="s">
        <v>715</v>
      </c>
      <c r="E97" s="127"/>
      <c r="F97" s="110">
        <v>2</v>
      </c>
      <c r="G97" s="126" t="s">
        <v>620</v>
      </c>
      <c r="H97" s="110" t="s">
        <v>632</v>
      </c>
      <c r="I97" s="111" t="s">
        <v>716</v>
      </c>
      <c r="J97" s="127" t="s">
        <v>717</v>
      </c>
      <c r="K97" s="43"/>
      <c r="L97" s="43"/>
    </row>
    <row r="98" spans="1:12" ht="60.75">
      <c r="A98" s="125">
        <v>2025</v>
      </c>
      <c r="B98" s="126" t="s">
        <v>706</v>
      </c>
      <c r="C98" s="110">
        <v>20</v>
      </c>
      <c r="D98" s="127" t="s">
        <v>707</v>
      </c>
      <c r="E98" s="127"/>
      <c r="F98" s="110">
        <v>4</v>
      </c>
      <c r="G98" s="127" t="s">
        <v>708</v>
      </c>
      <c r="H98" s="110" t="s">
        <v>640</v>
      </c>
      <c r="I98" s="111">
        <v>13</v>
      </c>
      <c r="J98" s="127" t="s">
        <v>718</v>
      </c>
      <c r="K98" s="43"/>
      <c r="L98" s="43"/>
    </row>
    <row r="99" spans="1:12" ht="76.5">
      <c r="A99" s="125">
        <v>2025</v>
      </c>
      <c r="B99" s="126" t="s">
        <v>706</v>
      </c>
      <c r="C99" s="110">
        <v>62</v>
      </c>
      <c r="D99" s="127" t="s">
        <v>719</v>
      </c>
      <c r="E99" s="127"/>
      <c r="F99" s="110">
        <v>4</v>
      </c>
      <c r="G99" s="127" t="s">
        <v>720</v>
      </c>
      <c r="H99" s="110" t="s">
        <v>640</v>
      </c>
      <c r="I99" s="111" t="s">
        <v>716</v>
      </c>
      <c r="J99" s="127" t="s">
        <v>717</v>
      </c>
      <c r="K99" s="43"/>
      <c r="L99" s="43"/>
    </row>
    <row r="100" spans="1:12" ht="76.5">
      <c r="A100" s="125">
        <v>2025</v>
      </c>
      <c r="B100" s="126" t="s">
        <v>706</v>
      </c>
      <c r="C100" s="110">
        <v>10</v>
      </c>
      <c r="D100" s="127" t="s">
        <v>599</v>
      </c>
      <c r="E100" s="127"/>
      <c r="F100" s="110">
        <v>5</v>
      </c>
      <c r="G100" s="127" t="s">
        <v>710</v>
      </c>
      <c r="H100" s="110" t="s">
        <v>644</v>
      </c>
      <c r="I100" s="111">
        <v>3</v>
      </c>
      <c r="J100" s="127" t="s">
        <v>721</v>
      </c>
      <c r="K100" s="43"/>
      <c r="L100" s="43"/>
    </row>
    <row r="101" spans="1:12" ht="60.75">
      <c r="A101" s="125">
        <v>2025</v>
      </c>
      <c r="B101" s="126" t="s">
        <v>706</v>
      </c>
      <c r="C101" s="110">
        <v>20</v>
      </c>
      <c r="D101" s="127" t="s">
        <v>707</v>
      </c>
      <c r="E101" s="127"/>
      <c r="F101" s="110">
        <v>5</v>
      </c>
      <c r="G101" s="127" t="s">
        <v>708</v>
      </c>
      <c r="H101" s="110" t="s">
        <v>644</v>
      </c>
      <c r="I101" s="111">
        <v>6</v>
      </c>
      <c r="J101" s="127" t="s">
        <v>722</v>
      </c>
      <c r="K101" s="43"/>
      <c r="L101" s="43"/>
    </row>
    <row r="102" spans="1:12">
      <c r="A102" s="125">
        <v>2025</v>
      </c>
      <c r="B102" s="126" t="s">
        <v>706</v>
      </c>
      <c r="C102" s="110">
        <v>30</v>
      </c>
      <c r="D102" s="127" t="s">
        <v>713</v>
      </c>
      <c r="E102" s="127"/>
      <c r="F102" s="110">
        <v>5</v>
      </c>
      <c r="G102" s="126" t="s">
        <v>588</v>
      </c>
      <c r="H102" s="110" t="s">
        <v>644</v>
      </c>
      <c r="I102" s="111">
        <v>7</v>
      </c>
      <c r="J102" s="127" t="s">
        <v>723</v>
      </c>
      <c r="K102" s="43"/>
      <c r="L102" s="43"/>
    </row>
    <row r="103" spans="1:12" ht="76.5">
      <c r="A103" s="125">
        <v>2025</v>
      </c>
      <c r="B103" s="126" t="s">
        <v>706</v>
      </c>
      <c r="C103" s="110">
        <v>50</v>
      </c>
      <c r="D103" s="127" t="s">
        <v>724</v>
      </c>
      <c r="E103" s="127"/>
      <c r="F103" s="110">
        <v>5</v>
      </c>
      <c r="G103" s="126" t="s">
        <v>655</v>
      </c>
      <c r="H103" s="110" t="s">
        <v>644</v>
      </c>
      <c r="I103" s="111">
        <v>2</v>
      </c>
      <c r="J103" s="127" t="s">
        <v>725</v>
      </c>
      <c r="K103" s="43"/>
      <c r="L103" s="43"/>
    </row>
    <row r="104" spans="1:12">
      <c r="A104" s="125">
        <v>2025</v>
      </c>
      <c r="B104" s="126" t="s">
        <v>726</v>
      </c>
      <c r="C104" s="110">
        <v>1</v>
      </c>
      <c r="D104" s="127" t="s">
        <v>587</v>
      </c>
      <c r="E104" s="127"/>
      <c r="F104" s="110">
        <v>1</v>
      </c>
      <c r="G104" s="126" t="s">
        <v>588</v>
      </c>
      <c r="H104" s="110" t="s">
        <v>626</v>
      </c>
      <c r="I104" s="111">
        <v>1</v>
      </c>
      <c r="J104" s="126" t="s">
        <v>589</v>
      </c>
      <c r="K104" s="43"/>
      <c r="L104" s="43"/>
    </row>
    <row r="105" spans="1:12">
      <c r="A105" s="125">
        <v>2025</v>
      </c>
      <c r="B105" s="126" t="s">
        <v>726</v>
      </c>
      <c r="C105" s="110">
        <v>2</v>
      </c>
      <c r="D105" s="127" t="s">
        <v>590</v>
      </c>
      <c r="E105" s="127"/>
      <c r="F105" s="110">
        <v>1</v>
      </c>
      <c r="G105" s="126" t="s">
        <v>588</v>
      </c>
      <c r="H105" s="110" t="s">
        <v>626</v>
      </c>
      <c r="I105" s="111">
        <v>3</v>
      </c>
      <c r="J105" s="127" t="s">
        <v>628</v>
      </c>
      <c r="K105" s="43"/>
      <c r="L105" s="43"/>
    </row>
    <row r="106" spans="1:12">
      <c r="A106" s="125">
        <v>2025</v>
      </c>
      <c r="B106" s="126" t="s">
        <v>726</v>
      </c>
      <c r="C106" s="110">
        <v>12</v>
      </c>
      <c r="D106" s="127" t="s">
        <v>602</v>
      </c>
      <c r="E106" s="127"/>
      <c r="F106" s="110">
        <v>1</v>
      </c>
      <c r="G106" s="126" t="s">
        <v>620</v>
      </c>
      <c r="H106" s="110" t="s">
        <v>626</v>
      </c>
      <c r="I106" s="111" t="s">
        <v>604</v>
      </c>
      <c r="J106" s="127" t="s">
        <v>631</v>
      </c>
      <c r="K106" s="43"/>
      <c r="L106" s="43"/>
    </row>
    <row r="107" spans="1:12" ht="60.75">
      <c r="A107" s="125">
        <v>2025</v>
      </c>
      <c r="B107" s="126" t="s">
        <v>726</v>
      </c>
      <c r="C107" s="110">
        <v>20</v>
      </c>
      <c r="D107" s="127" t="s">
        <v>707</v>
      </c>
      <c r="E107" s="127"/>
      <c r="F107" s="110">
        <v>1</v>
      </c>
      <c r="G107" s="127" t="s">
        <v>708</v>
      </c>
      <c r="H107" s="110" t="s">
        <v>626</v>
      </c>
      <c r="I107" s="111">
        <v>12</v>
      </c>
      <c r="J107" s="127" t="s">
        <v>727</v>
      </c>
      <c r="K107" s="43"/>
      <c r="L107" s="43"/>
    </row>
    <row r="108" spans="1:12">
      <c r="A108" s="125">
        <v>2025</v>
      </c>
      <c r="B108" s="126" t="s">
        <v>726</v>
      </c>
      <c r="C108" s="110">
        <v>2</v>
      </c>
      <c r="D108" s="127" t="s">
        <v>590</v>
      </c>
      <c r="E108" s="127"/>
      <c r="F108" s="110">
        <v>2</v>
      </c>
      <c r="G108" s="126" t="s">
        <v>588</v>
      </c>
      <c r="H108" s="110" t="s">
        <v>632</v>
      </c>
      <c r="I108" s="111">
        <v>3</v>
      </c>
      <c r="J108" s="127" t="s">
        <v>633</v>
      </c>
      <c r="K108" s="43"/>
      <c r="L108" s="43"/>
    </row>
    <row r="109" spans="1:12" ht="91.5">
      <c r="A109" s="125">
        <v>2025</v>
      </c>
      <c r="B109" s="126" t="s">
        <v>726</v>
      </c>
      <c r="C109" s="110">
        <v>8</v>
      </c>
      <c r="D109" s="127" t="s">
        <v>634</v>
      </c>
      <c r="E109" s="127"/>
      <c r="F109" s="110">
        <v>2</v>
      </c>
      <c r="G109" s="127" t="s">
        <v>710</v>
      </c>
      <c r="H109" s="110" t="s">
        <v>632</v>
      </c>
      <c r="I109" s="111">
        <v>3</v>
      </c>
      <c r="J109" s="127" t="s">
        <v>711</v>
      </c>
      <c r="K109" s="43"/>
      <c r="L109" s="43"/>
    </row>
    <row r="110" spans="1:12" ht="60.75">
      <c r="A110" s="125">
        <v>2025</v>
      </c>
      <c r="B110" s="126" t="s">
        <v>726</v>
      </c>
      <c r="C110" s="110">
        <v>20</v>
      </c>
      <c r="D110" s="127" t="s">
        <v>707</v>
      </c>
      <c r="E110" s="127"/>
      <c r="F110" s="110">
        <v>2</v>
      </c>
      <c r="G110" s="127" t="s">
        <v>708</v>
      </c>
      <c r="H110" s="110" t="s">
        <v>632</v>
      </c>
      <c r="I110" s="111">
        <v>6</v>
      </c>
      <c r="J110" s="127" t="s">
        <v>728</v>
      </c>
      <c r="K110" s="43"/>
      <c r="L110" s="43"/>
    </row>
    <row r="111" spans="1:12">
      <c r="A111" s="125">
        <v>2025</v>
      </c>
      <c r="B111" s="126" t="s">
        <v>726</v>
      </c>
      <c r="C111" s="110">
        <v>30</v>
      </c>
      <c r="D111" s="127" t="s">
        <v>713</v>
      </c>
      <c r="E111" s="127"/>
      <c r="F111" s="110">
        <v>2</v>
      </c>
      <c r="G111" s="126" t="s">
        <v>588</v>
      </c>
      <c r="H111" s="110" t="s">
        <v>632</v>
      </c>
      <c r="I111" s="111">
        <v>3</v>
      </c>
      <c r="J111" s="127" t="s">
        <v>714</v>
      </c>
      <c r="K111" s="43"/>
      <c r="L111" s="43"/>
    </row>
    <row r="112" spans="1:12" ht="60.75">
      <c r="A112" s="125">
        <v>2025</v>
      </c>
      <c r="B112" s="126" t="s">
        <v>726</v>
      </c>
      <c r="C112" s="110">
        <v>60</v>
      </c>
      <c r="D112" s="127" t="s">
        <v>729</v>
      </c>
      <c r="E112" s="127"/>
      <c r="F112" s="110">
        <v>2</v>
      </c>
      <c r="G112" s="126" t="s">
        <v>620</v>
      </c>
      <c r="H112" s="110" t="s">
        <v>632</v>
      </c>
      <c r="I112" s="111">
        <v>3</v>
      </c>
      <c r="J112" s="127" t="s">
        <v>730</v>
      </c>
      <c r="K112" s="43"/>
      <c r="L112" s="43"/>
    </row>
    <row r="113" spans="1:12" ht="60.75">
      <c r="A113" s="125">
        <v>2025</v>
      </c>
      <c r="B113" s="126" t="s">
        <v>726</v>
      </c>
      <c r="C113" s="110">
        <v>20</v>
      </c>
      <c r="D113" s="127" t="s">
        <v>707</v>
      </c>
      <c r="E113" s="127"/>
      <c r="F113" s="110">
        <v>4</v>
      </c>
      <c r="G113" s="127" t="s">
        <v>708</v>
      </c>
      <c r="H113" s="110" t="s">
        <v>640</v>
      </c>
      <c r="I113" s="111">
        <v>14</v>
      </c>
      <c r="J113" s="127" t="s">
        <v>731</v>
      </c>
      <c r="K113" s="43"/>
      <c r="L113" s="43"/>
    </row>
    <row r="114" spans="1:12" ht="76.5">
      <c r="A114" s="125">
        <v>2025</v>
      </c>
      <c r="B114" s="126" t="s">
        <v>726</v>
      </c>
      <c r="C114" s="110">
        <v>10</v>
      </c>
      <c r="D114" s="127" t="s">
        <v>599</v>
      </c>
      <c r="E114" s="127"/>
      <c r="F114" s="110">
        <v>5</v>
      </c>
      <c r="G114" s="127" t="s">
        <v>710</v>
      </c>
      <c r="H114" s="110" t="s">
        <v>644</v>
      </c>
      <c r="I114" s="111">
        <v>3</v>
      </c>
      <c r="J114" s="127" t="s">
        <v>721</v>
      </c>
      <c r="K114" s="43"/>
      <c r="L114" s="43"/>
    </row>
    <row r="115" spans="1:12" ht="60.75">
      <c r="A115" s="125">
        <v>2025</v>
      </c>
      <c r="B115" s="126" t="s">
        <v>726</v>
      </c>
      <c r="C115" s="110">
        <v>20</v>
      </c>
      <c r="D115" s="127" t="s">
        <v>707</v>
      </c>
      <c r="E115" s="127"/>
      <c r="F115" s="110">
        <v>5</v>
      </c>
      <c r="G115" s="127" t="s">
        <v>708</v>
      </c>
      <c r="H115" s="110" t="s">
        <v>644</v>
      </c>
      <c r="I115" s="111">
        <v>6</v>
      </c>
      <c r="J115" s="127" t="s">
        <v>732</v>
      </c>
      <c r="K115" s="43"/>
      <c r="L115" s="43"/>
    </row>
    <row r="116" spans="1:12">
      <c r="A116" s="125">
        <v>2025</v>
      </c>
      <c r="B116" s="126" t="s">
        <v>726</v>
      </c>
      <c r="C116" s="110">
        <v>30</v>
      </c>
      <c r="D116" s="127" t="s">
        <v>713</v>
      </c>
      <c r="E116" s="127"/>
      <c r="F116" s="110">
        <v>5</v>
      </c>
      <c r="G116" s="126" t="s">
        <v>588</v>
      </c>
      <c r="H116" s="110" t="s">
        <v>644</v>
      </c>
      <c r="I116" s="111">
        <v>4</v>
      </c>
      <c r="J116" s="127" t="s">
        <v>733</v>
      </c>
      <c r="K116" s="43"/>
      <c r="L116" s="43"/>
    </row>
    <row r="117" spans="1:12" ht="76.5">
      <c r="A117" s="125">
        <v>2025</v>
      </c>
      <c r="B117" s="126" t="s">
        <v>726</v>
      </c>
      <c r="C117" s="110">
        <v>50</v>
      </c>
      <c r="D117" s="127" t="s">
        <v>724</v>
      </c>
      <c r="E117" s="127"/>
      <c r="F117" s="110">
        <v>5</v>
      </c>
      <c r="G117" s="126" t="s">
        <v>655</v>
      </c>
      <c r="H117" s="110" t="s">
        <v>644</v>
      </c>
      <c r="I117" s="111">
        <v>2</v>
      </c>
      <c r="J117" s="127" t="s">
        <v>725</v>
      </c>
      <c r="K117" s="43"/>
      <c r="L117" s="43"/>
    </row>
    <row r="118" spans="1:12">
      <c r="A118" s="125">
        <v>2025</v>
      </c>
      <c r="B118" s="126" t="s">
        <v>734</v>
      </c>
      <c r="C118" s="110">
        <v>1</v>
      </c>
      <c r="D118" s="127" t="s">
        <v>587</v>
      </c>
      <c r="E118" s="127"/>
      <c r="F118" s="110">
        <v>1</v>
      </c>
      <c r="G118" s="126" t="s">
        <v>588</v>
      </c>
      <c r="H118" s="110" t="s">
        <v>626</v>
      </c>
      <c r="I118" s="111">
        <v>1</v>
      </c>
      <c r="J118" s="126" t="s">
        <v>589</v>
      </c>
      <c r="K118" s="43"/>
      <c r="L118" s="43"/>
    </row>
    <row r="119" spans="1:12">
      <c r="A119" s="125">
        <v>2025</v>
      </c>
      <c r="B119" s="126" t="s">
        <v>734</v>
      </c>
      <c r="C119" s="110">
        <v>2</v>
      </c>
      <c r="D119" s="127" t="s">
        <v>590</v>
      </c>
      <c r="E119" s="127"/>
      <c r="F119" s="110">
        <v>1</v>
      </c>
      <c r="G119" s="126" t="s">
        <v>588</v>
      </c>
      <c r="H119" s="110" t="s">
        <v>626</v>
      </c>
      <c r="I119" s="111">
        <v>3</v>
      </c>
      <c r="J119" s="127" t="s">
        <v>628</v>
      </c>
      <c r="K119" s="43"/>
      <c r="L119" s="43"/>
    </row>
    <row r="120" spans="1:12" ht="60.75">
      <c r="A120" s="125">
        <v>2025</v>
      </c>
      <c r="B120" s="126" t="s">
        <v>734</v>
      </c>
      <c r="C120" s="110">
        <v>20</v>
      </c>
      <c r="D120" s="127" t="s">
        <v>707</v>
      </c>
      <c r="E120" s="127"/>
      <c r="F120" s="110">
        <v>1</v>
      </c>
      <c r="G120" s="127" t="s">
        <v>708</v>
      </c>
      <c r="H120" s="110" t="s">
        <v>626</v>
      </c>
      <c r="I120" s="111">
        <v>13</v>
      </c>
      <c r="J120" s="127" t="s">
        <v>735</v>
      </c>
      <c r="K120" s="43"/>
      <c r="L120" s="43"/>
    </row>
    <row r="121" spans="1:12">
      <c r="A121" s="125">
        <v>2025</v>
      </c>
      <c r="B121" s="126" t="s">
        <v>734</v>
      </c>
      <c r="C121" s="110">
        <v>12</v>
      </c>
      <c r="D121" s="127" t="s">
        <v>602</v>
      </c>
      <c r="E121" s="127"/>
      <c r="F121" s="110">
        <v>2</v>
      </c>
      <c r="G121" s="126" t="s">
        <v>620</v>
      </c>
      <c r="H121" s="110" t="s">
        <v>632</v>
      </c>
      <c r="I121" s="111" t="s">
        <v>604</v>
      </c>
      <c r="J121" s="127" t="s">
        <v>605</v>
      </c>
      <c r="K121" s="43"/>
      <c r="L121" s="43"/>
    </row>
    <row r="122" spans="1:12" ht="60.75">
      <c r="A122" s="125">
        <v>2025</v>
      </c>
      <c r="B122" s="126" t="s">
        <v>734</v>
      </c>
      <c r="C122" s="110">
        <v>20</v>
      </c>
      <c r="D122" s="127" t="s">
        <v>707</v>
      </c>
      <c r="E122" s="127"/>
      <c r="F122" s="110">
        <v>2</v>
      </c>
      <c r="G122" s="127" t="s">
        <v>708</v>
      </c>
      <c r="H122" s="110" t="s">
        <v>632</v>
      </c>
      <c r="I122" s="129">
        <v>13</v>
      </c>
      <c r="J122" s="130" t="s">
        <v>736</v>
      </c>
      <c r="K122" s="43"/>
      <c r="L122" s="43"/>
    </row>
    <row r="123" spans="1:12">
      <c r="A123" s="125">
        <v>2025</v>
      </c>
      <c r="B123" s="126" t="s">
        <v>734</v>
      </c>
      <c r="C123" s="110">
        <v>30</v>
      </c>
      <c r="D123" s="127" t="s">
        <v>713</v>
      </c>
      <c r="E123" s="127"/>
      <c r="F123" s="110">
        <v>2</v>
      </c>
      <c r="G123" s="126" t="s">
        <v>588</v>
      </c>
      <c r="H123" s="110" t="s">
        <v>632</v>
      </c>
      <c r="I123" s="129">
        <v>2</v>
      </c>
      <c r="J123" s="130" t="s">
        <v>737</v>
      </c>
      <c r="K123" s="43"/>
      <c r="L123" s="43"/>
    </row>
    <row r="124" spans="1:12">
      <c r="A124" s="125">
        <v>2025</v>
      </c>
      <c r="B124" s="126" t="s">
        <v>734</v>
      </c>
      <c r="C124" s="110">
        <v>2</v>
      </c>
      <c r="D124" s="127" t="s">
        <v>590</v>
      </c>
      <c r="E124" s="127"/>
      <c r="F124" s="110">
        <v>4</v>
      </c>
      <c r="G124" s="126" t="s">
        <v>620</v>
      </c>
      <c r="H124" s="131" t="s">
        <v>640</v>
      </c>
      <c r="I124" s="129">
        <v>3</v>
      </c>
      <c r="J124" s="130" t="s">
        <v>738</v>
      </c>
      <c r="K124" s="43"/>
      <c r="L124" s="43"/>
    </row>
    <row r="125" spans="1:12" ht="76.5">
      <c r="A125" s="125">
        <v>2025</v>
      </c>
      <c r="B125" s="126" t="s">
        <v>734</v>
      </c>
      <c r="C125" s="110">
        <v>10</v>
      </c>
      <c r="D125" s="127" t="s">
        <v>599</v>
      </c>
      <c r="E125" s="127"/>
      <c r="F125" s="110">
        <v>4</v>
      </c>
      <c r="G125" s="127" t="s">
        <v>710</v>
      </c>
      <c r="H125" s="110" t="s">
        <v>640</v>
      </c>
      <c r="I125" s="111">
        <v>3</v>
      </c>
      <c r="J125" s="127" t="s">
        <v>721</v>
      </c>
      <c r="K125" s="43"/>
      <c r="L125" s="43"/>
    </row>
    <row r="126" spans="1:12" ht="60.75">
      <c r="A126" s="125">
        <v>2025</v>
      </c>
      <c r="B126" s="126" t="s">
        <v>734</v>
      </c>
      <c r="C126" s="110">
        <v>20</v>
      </c>
      <c r="D126" s="127" t="s">
        <v>707</v>
      </c>
      <c r="E126" s="127"/>
      <c r="F126" s="110">
        <v>4</v>
      </c>
      <c r="G126" s="127" t="s">
        <v>708</v>
      </c>
      <c r="H126" s="131" t="s">
        <v>640</v>
      </c>
      <c r="I126" s="129">
        <v>7</v>
      </c>
      <c r="J126" s="130" t="s">
        <v>739</v>
      </c>
      <c r="K126" s="43"/>
      <c r="L126" s="43"/>
    </row>
    <row r="127" spans="1:12">
      <c r="A127" s="125">
        <v>2025</v>
      </c>
      <c r="B127" s="126" t="s">
        <v>734</v>
      </c>
      <c r="C127" s="110">
        <v>30</v>
      </c>
      <c r="D127" s="127" t="s">
        <v>713</v>
      </c>
      <c r="E127" s="127"/>
      <c r="F127" s="110">
        <v>4</v>
      </c>
      <c r="G127" s="126" t="s">
        <v>588</v>
      </c>
      <c r="H127" s="110" t="s">
        <v>640</v>
      </c>
      <c r="I127" s="111">
        <v>3</v>
      </c>
      <c r="J127" s="127" t="s">
        <v>740</v>
      </c>
      <c r="K127" s="43"/>
      <c r="L127" s="43"/>
    </row>
    <row r="128" spans="1:12" ht="91.5">
      <c r="A128" s="125">
        <v>2025</v>
      </c>
      <c r="B128" s="126" t="s">
        <v>734</v>
      </c>
      <c r="C128" s="110">
        <v>8</v>
      </c>
      <c r="D128" s="127" t="s">
        <v>634</v>
      </c>
      <c r="E128" s="127"/>
      <c r="F128" s="110">
        <v>5</v>
      </c>
      <c r="G128" s="127" t="s">
        <v>710</v>
      </c>
      <c r="H128" s="131" t="s">
        <v>644</v>
      </c>
      <c r="I128" s="111">
        <v>3</v>
      </c>
      <c r="J128" s="127" t="s">
        <v>711</v>
      </c>
      <c r="K128" s="43"/>
      <c r="L128" s="43"/>
    </row>
    <row r="129" spans="1:12" ht="30.75">
      <c r="A129" s="125">
        <v>2025</v>
      </c>
      <c r="B129" s="126" t="s">
        <v>734</v>
      </c>
      <c r="C129" s="110">
        <v>30</v>
      </c>
      <c r="D129" s="127" t="s">
        <v>713</v>
      </c>
      <c r="E129" s="127"/>
      <c r="F129" s="110">
        <v>5</v>
      </c>
      <c r="G129" s="126" t="s">
        <v>588</v>
      </c>
      <c r="H129" s="110" t="s">
        <v>644</v>
      </c>
      <c r="I129" s="129">
        <v>14</v>
      </c>
      <c r="J129" s="130" t="s">
        <v>741</v>
      </c>
      <c r="K129" s="43"/>
      <c r="L129" s="43"/>
    </row>
    <row r="130" spans="1:12" ht="60.75">
      <c r="A130" s="125">
        <v>2025</v>
      </c>
      <c r="B130" s="229" t="s">
        <v>742</v>
      </c>
      <c r="C130" s="110">
        <v>2</v>
      </c>
      <c r="D130" s="127" t="s">
        <v>590</v>
      </c>
      <c r="E130" s="127"/>
      <c r="F130" s="110">
        <v>1</v>
      </c>
      <c r="G130" s="127" t="s">
        <v>708</v>
      </c>
      <c r="H130" s="110" t="s">
        <v>626</v>
      </c>
      <c r="I130" s="111" t="s">
        <v>743</v>
      </c>
      <c r="J130" s="127" t="s">
        <v>744</v>
      </c>
      <c r="K130" s="43"/>
      <c r="L130" s="43"/>
    </row>
    <row r="131" spans="1:12" ht="60.75">
      <c r="A131" s="125">
        <v>2025</v>
      </c>
      <c r="B131" s="229" t="s">
        <v>742</v>
      </c>
      <c r="C131" s="110">
        <v>40</v>
      </c>
      <c r="D131" s="127" t="s">
        <v>647</v>
      </c>
      <c r="E131" s="127"/>
      <c r="F131" s="110">
        <v>1</v>
      </c>
      <c r="G131" s="127" t="s">
        <v>708</v>
      </c>
      <c r="H131" s="110" t="s">
        <v>626</v>
      </c>
      <c r="I131" s="111" t="s">
        <v>638</v>
      </c>
      <c r="J131" s="127" t="s">
        <v>745</v>
      </c>
      <c r="K131" s="43"/>
      <c r="L131" s="43"/>
    </row>
    <row r="132" spans="1:12" ht="60.75">
      <c r="A132" s="125">
        <v>2025</v>
      </c>
      <c r="B132" s="229" t="s">
        <v>742</v>
      </c>
      <c r="C132" s="110">
        <v>2</v>
      </c>
      <c r="D132" s="127" t="s">
        <v>590</v>
      </c>
      <c r="E132" s="127"/>
      <c r="F132" s="110">
        <v>2</v>
      </c>
      <c r="G132" s="127" t="s">
        <v>708</v>
      </c>
      <c r="H132" s="110" t="s">
        <v>632</v>
      </c>
      <c r="I132" s="111" t="s">
        <v>636</v>
      </c>
      <c r="J132" s="127" t="s">
        <v>746</v>
      </c>
      <c r="K132" s="43"/>
      <c r="L132" s="43"/>
    </row>
    <row r="133" spans="1:12" ht="60.75">
      <c r="A133" s="125">
        <v>2025</v>
      </c>
      <c r="B133" s="229" t="s">
        <v>742</v>
      </c>
      <c r="C133" s="110">
        <v>10</v>
      </c>
      <c r="D133" s="127" t="s">
        <v>599</v>
      </c>
      <c r="E133" s="127"/>
      <c r="F133" s="110">
        <v>2</v>
      </c>
      <c r="G133" s="127" t="s">
        <v>747</v>
      </c>
      <c r="H133" s="110" t="s">
        <v>632</v>
      </c>
      <c r="I133" s="111" t="s">
        <v>627</v>
      </c>
      <c r="J133" s="127" t="s">
        <v>748</v>
      </c>
      <c r="K133" s="43"/>
      <c r="L133" s="43"/>
    </row>
    <row r="134" spans="1:12" ht="60.75">
      <c r="A134" s="125">
        <v>2025</v>
      </c>
      <c r="B134" s="229" t="s">
        <v>742</v>
      </c>
      <c r="C134" s="110">
        <v>40</v>
      </c>
      <c r="D134" s="127" t="s">
        <v>647</v>
      </c>
      <c r="E134" s="127"/>
      <c r="F134" s="110">
        <v>2</v>
      </c>
      <c r="G134" s="127" t="s">
        <v>708</v>
      </c>
      <c r="H134" s="110" t="s">
        <v>632</v>
      </c>
      <c r="I134" s="111" t="s">
        <v>627</v>
      </c>
      <c r="J134" s="127" t="s">
        <v>714</v>
      </c>
      <c r="K134" s="43"/>
      <c r="L134" s="43"/>
    </row>
    <row r="135" spans="1:12">
      <c r="A135" s="125">
        <v>2025</v>
      </c>
      <c r="B135" s="126" t="s">
        <v>749</v>
      </c>
      <c r="C135" s="110">
        <v>1</v>
      </c>
      <c r="D135" s="127" t="s">
        <v>587</v>
      </c>
      <c r="E135" s="127"/>
      <c r="F135" s="110">
        <v>1</v>
      </c>
      <c r="G135" s="126" t="s">
        <v>588</v>
      </c>
      <c r="H135" s="110" t="s">
        <v>626</v>
      </c>
      <c r="I135" s="111">
        <v>1</v>
      </c>
      <c r="J135" s="127" t="s">
        <v>589</v>
      </c>
      <c r="K135" s="43"/>
      <c r="L135" s="43"/>
    </row>
    <row r="136" spans="1:12" ht="60.75">
      <c r="A136" s="125">
        <v>2025</v>
      </c>
      <c r="B136" s="126" t="s">
        <v>749</v>
      </c>
      <c r="C136" s="110">
        <v>20</v>
      </c>
      <c r="D136" s="127" t="s">
        <v>707</v>
      </c>
      <c r="E136" s="127"/>
      <c r="F136" s="110">
        <v>1</v>
      </c>
      <c r="G136" s="127" t="s">
        <v>708</v>
      </c>
      <c r="H136" s="110" t="s">
        <v>626</v>
      </c>
      <c r="I136" s="111">
        <v>9</v>
      </c>
      <c r="J136" s="127" t="s">
        <v>750</v>
      </c>
      <c r="K136" s="43"/>
      <c r="L136" s="43"/>
    </row>
    <row r="137" spans="1:12">
      <c r="A137" s="125">
        <v>2025</v>
      </c>
      <c r="B137" s="126" t="s">
        <v>749</v>
      </c>
      <c r="C137" s="110">
        <v>30</v>
      </c>
      <c r="D137" s="127" t="s">
        <v>713</v>
      </c>
      <c r="E137" s="127"/>
      <c r="F137" s="110">
        <v>1</v>
      </c>
      <c r="G137" s="126" t="s">
        <v>588</v>
      </c>
      <c r="H137" s="110" t="s">
        <v>626</v>
      </c>
      <c r="I137" s="111">
        <v>3</v>
      </c>
      <c r="J137" s="127" t="s">
        <v>751</v>
      </c>
      <c r="K137" s="43"/>
      <c r="L137" s="43"/>
    </row>
    <row r="138" spans="1:12" ht="60.75">
      <c r="A138" s="125">
        <v>2025</v>
      </c>
      <c r="B138" s="126" t="s">
        <v>749</v>
      </c>
      <c r="C138" s="110">
        <v>20</v>
      </c>
      <c r="D138" s="127" t="s">
        <v>707</v>
      </c>
      <c r="E138" s="127"/>
      <c r="F138" s="110">
        <v>2</v>
      </c>
      <c r="G138" s="127" t="s">
        <v>708</v>
      </c>
      <c r="H138" s="110" t="s">
        <v>632</v>
      </c>
      <c r="I138" s="111">
        <v>6</v>
      </c>
      <c r="J138" s="127" t="s">
        <v>752</v>
      </c>
      <c r="K138" s="43"/>
      <c r="L138" s="43"/>
    </row>
    <row r="139" spans="1:12">
      <c r="A139" s="125">
        <v>2025</v>
      </c>
      <c r="B139" s="126" t="s">
        <v>749</v>
      </c>
      <c r="C139" s="110">
        <v>30</v>
      </c>
      <c r="D139" s="127" t="s">
        <v>713</v>
      </c>
      <c r="E139" s="127"/>
      <c r="F139" s="110">
        <v>2</v>
      </c>
      <c r="G139" s="126" t="s">
        <v>588</v>
      </c>
      <c r="H139" s="110" t="s">
        <v>632</v>
      </c>
      <c r="I139" s="111">
        <v>9</v>
      </c>
      <c r="J139" s="127" t="s">
        <v>753</v>
      </c>
      <c r="K139" s="43"/>
      <c r="L139" s="43"/>
    </row>
    <row r="140" spans="1:12">
      <c r="A140" s="125">
        <v>2025</v>
      </c>
      <c r="B140" s="126" t="s">
        <v>749</v>
      </c>
      <c r="C140" s="110">
        <v>2</v>
      </c>
      <c r="D140" s="127" t="s">
        <v>590</v>
      </c>
      <c r="E140" s="127"/>
      <c r="F140" s="110">
        <v>3</v>
      </c>
      <c r="G140" s="126" t="s">
        <v>588</v>
      </c>
      <c r="H140" s="110" t="s">
        <v>754</v>
      </c>
      <c r="I140" s="111">
        <v>6</v>
      </c>
      <c r="J140" s="127" t="s">
        <v>755</v>
      </c>
      <c r="K140" s="43"/>
      <c r="L140" s="43"/>
    </row>
    <row r="141" spans="1:12" ht="91.5">
      <c r="A141" s="125">
        <v>2025</v>
      </c>
      <c r="B141" s="126" t="s">
        <v>749</v>
      </c>
      <c r="C141" s="110">
        <v>8</v>
      </c>
      <c r="D141" s="127" t="s">
        <v>634</v>
      </c>
      <c r="E141" s="127"/>
      <c r="F141" s="110">
        <v>3</v>
      </c>
      <c r="G141" s="127" t="s">
        <v>710</v>
      </c>
      <c r="H141" s="110" t="s">
        <v>754</v>
      </c>
      <c r="I141" s="111">
        <v>3</v>
      </c>
      <c r="J141" s="127" t="s">
        <v>711</v>
      </c>
      <c r="K141" s="43"/>
      <c r="L141" s="43"/>
    </row>
    <row r="142" spans="1:12" ht="76.5">
      <c r="A142" s="125">
        <v>2025</v>
      </c>
      <c r="B142" s="126" t="s">
        <v>749</v>
      </c>
      <c r="C142" s="110">
        <v>10</v>
      </c>
      <c r="D142" s="127" t="s">
        <v>599</v>
      </c>
      <c r="E142" s="127"/>
      <c r="F142" s="110">
        <v>3</v>
      </c>
      <c r="G142" s="127" t="s">
        <v>710</v>
      </c>
      <c r="H142" s="110" t="s">
        <v>754</v>
      </c>
      <c r="I142" s="111">
        <v>3</v>
      </c>
      <c r="J142" s="127" t="s">
        <v>721</v>
      </c>
      <c r="K142" s="43"/>
      <c r="L142" s="43"/>
    </row>
    <row r="143" spans="1:12" ht="60.75">
      <c r="A143" s="125">
        <v>2025</v>
      </c>
      <c r="B143" s="126" t="s">
        <v>749</v>
      </c>
      <c r="C143" s="110">
        <v>20</v>
      </c>
      <c r="D143" s="127" t="s">
        <v>707</v>
      </c>
      <c r="E143" s="127"/>
      <c r="F143" s="110">
        <v>4</v>
      </c>
      <c r="G143" s="127" t="s">
        <v>708</v>
      </c>
      <c r="H143" s="110" t="s">
        <v>640</v>
      </c>
      <c r="I143" s="111">
        <v>3</v>
      </c>
      <c r="J143" s="127" t="s">
        <v>756</v>
      </c>
      <c r="K143" s="43"/>
      <c r="L143" s="43"/>
    </row>
    <row r="144" spans="1:12">
      <c r="A144" s="125">
        <v>2025</v>
      </c>
      <c r="B144" s="126" t="s">
        <v>749</v>
      </c>
      <c r="C144" s="110">
        <v>30</v>
      </c>
      <c r="D144" s="127" t="s">
        <v>713</v>
      </c>
      <c r="E144" s="127"/>
      <c r="F144" s="110">
        <v>4</v>
      </c>
      <c r="G144" s="126" t="s">
        <v>588</v>
      </c>
      <c r="H144" s="110" t="s">
        <v>640</v>
      </c>
      <c r="I144" s="111">
        <v>9</v>
      </c>
      <c r="J144" s="127" t="s">
        <v>757</v>
      </c>
      <c r="K144" s="43"/>
      <c r="L144" s="43"/>
    </row>
    <row r="145" spans="1:12">
      <c r="A145" s="125">
        <v>2025</v>
      </c>
      <c r="B145" s="126" t="s">
        <v>749</v>
      </c>
      <c r="C145" s="110">
        <v>2</v>
      </c>
      <c r="D145" s="127" t="s">
        <v>590</v>
      </c>
      <c r="E145" s="127"/>
      <c r="F145" s="110">
        <v>5</v>
      </c>
      <c r="G145" s="126" t="s">
        <v>620</v>
      </c>
      <c r="H145" s="110" t="s">
        <v>644</v>
      </c>
      <c r="I145" s="111">
        <v>3</v>
      </c>
      <c r="J145" s="127" t="s">
        <v>738</v>
      </c>
      <c r="K145" s="43"/>
      <c r="L145" s="43"/>
    </row>
    <row r="146" spans="1:12">
      <c r="A146" s="125">
        <v>2025</v>
      </c>
      <c r="B146" s="126" t="s">
        <v>749</v>
      </c>
      <c r="C146" s="110">
        <v>30</v>
      </c>
      <c r="D146" s="127" t="s">
        <v>713</v>
      </c>
      <c r="E146" s="127"/>
      <c r="F146" s="110">
        <v>5</v>
      </c>
      <c r="G146" s="126" t="s">
        <v>588</v>
      </c>
      <c r="H146" s="110" t="s">
        <v>644</v>
      </c>
      <c r="I146" s="111">
        <v>3</v>
      </c>
      <c r="J146" s="127" t="s">
        <v>758</v>
      </c>
      <c r="K146" s="43"/>
      <c r="L146" s="43"/>
    </row>
    <row r="147" spans="1:12" ht="76.5">
      <c r="A147" s="125">
        <v>2025</v>
      </c>
      <c r="B147" s="126" t="s">
        <v>749</v>
      </c>
      <c r="C147" s="110">
        <v>50</v>
      </c>
      <c r="D147" s="127" t="s">
        <v>724</v>
      </c>
      <c r="E147" s="127"/>
      <c r="F147" s="110">
        <v>5</v>
      </c>
      <c r="G147" s="126" t="s">
        <v>655</v>
      </c>
      <c r="H147" s="110" t="s">
        <v>644</v>
      </c>
      <c r="I147" s="111" t="s">
        <v>759</v>
      </c>
      <c r="J147" s="127" t="s">
        <v>760</v>
      </c>
      <c r="K147" s="43"/>
      <c r="L147" s="43"/>
    </row>
    <row r="148" spans="1:12" ht="137.25">
      <c r="A148" s="125">
        <v>2025</v>
      </c>
      <c r="B148" s="126" t="s">
        <v>749</v>
      </c>
      <c r="C148" s="110">
        <v>60</v>
      </c>
      <c r="D148" s="127" t="s">
        <v>729</v>
      </c>
      <c r="E148" s="127"/>
      <c r="F148" s="110">
        <v>5</v>
      </c>
      <c r="G148" s="126" t="s">
        <v>607</v>
      </c>
      <c r="H148" s="110" t="s">
        <v>644</v>
      </c>
      <c r="I148" s="111">
        <v>4</v>
      </c>
      <c r="J148" s="127" t="s">
        <v>761</v>
      </c>
      <c r="K148" s="43"/>
      <c r="L148" s="43"/>
    </row>
    <row r="149" spans="1:12">
      <c r="A149" s="125">
        <v>2025</v>
      </c>
      <c r="B149" s="126" t="s">
        <v>762</v>
      </c>
      <c r="C149" s="110">
        <v>1</v>
      </c>
      <c r="D149" s="127" t="s">
        <v>587</v>
      </c>
      <c r="E149" s="127"/>
      <c r="F149" s="110">
        <v>1</v>
      </c>
      <c r="G149" s="126" t="s">
        <v>588</v>
      </c>
      <c r="H149" s="110" t="s">
        <v>626</v>
      </c>
      <c r="I149" s="111">
        <v>1</v>
      </c>
      <c r="J149" s="127" t="s">
        <v>589</v>
      </c>
      <c r="K149" s="43"/>
      <c r="L149" s="43"/>
    </row>
    <row r="150" spans="1:12" ht="60.75">
      <c r="A150" s="125">
        <v>2025</v>
      </c>
      <c r="B150" s="126" t="s">
        <v>762</v>
      </c>
      <c r="C150" s="110">
        <v>20</v>
      </c>
      <c r="D150" s="127" t="s">
        <v>707</v>
      </c>
      <c r="E150" s="127"/>
      <c r="F150" s="110">
        <v>1</v>
      </c>
      <c r="G150" s="127" t="s">
        <v>708</v>
      </c>
      <c r="H150" s="110" t="s">
        <v>626</v>
      </c>
      <c r="I150" s="111">
        <v>9</v>
      </c>
      <c r="J150" s="127" t="s">
        <v>750</v>
      </c>
      <c r="K150" s="43"/>
      <c r="L150" s="43"/>
    </row>
    <row r="151" spans="1:12">
      <c r="A151" s="125">
        <v>2025</v>
      </c>
      <c r="B151" s="126" t="s">
        <v>762</v>
      </c>
      <c r="C151" s="110">
        <v>30</v>
      </c>
      <c r="D151" s="127" t="s">
        <v>713</v>
      </c>
      <c r="E151" s="127"/>
      <c r="F151" s="110">
        <v>1</v>
      </c>
      <c r="G151" s="126" t="s">
        <v>588</v>
      </c>
      <c r="H151" s="110" t="s">
        <v>626</v>
      </c>
      <c r="I151" s="111">
        <v>3</v>
      </c>
      <c r="J151" s="127" t="s">
        <v>763</v>
      </c>
      <c r="K151" s="43"/>
      <c r="L151" s="43"/>
    </row>
    <row r="152" spans="1:12" ht="60.75">
      <c r="A152" s="125">
        <v>2025</v>
      </c>
      <c r="B152" s="126" t="s">
        <v>762</v>
      </c>
      <c r="C152" s="110">
        <v>20</v>
      </c>
      <c r="D152" s="127" t="s">
        <v>707</v>
      </c>
      <c r="E152" s="127"/>
      <c r="F152" s="110">
        <v>2</v>
      </c>
      <c r="G152" s="127" t="s">
        <v>708</v>
      </c>
      <c r="H152" s="110" t="s">
        <v>632</v>
      </c>
      <c r="I152" s="111">
        <v>6</v>
      </c>
      <c r="J152" s="127" t="s">
        <v>764</v>
      </c>
      <c r="K152" s="43"/>
      <c r="L152" s="43"/>
    </row>
    <row r="153" spans="1:12">
      <c r="A153" s="125">
        <v>2025</v>
      </c>
      <c r="B153" s="126" t="s">
        <v>762</v>
      </c>
      <c r="C153" s="110">
        <v>30</v>
      </c>
      <c r="D153" s="127" t="s">
        <v>713</v>
      </c>
      <c r="E153" s="127"/>
      <c r="F153" s="110">
        <v>2</v>
      </c>
      <c r="G153" s="126" t="s">
        <v>588</v>
      </c>
      <c r="H153" s="110" t="s">
        <v>632</v>
      </c>
      <c r="I153" s="111">
        <v>9</v>
      </c>
      <c r="J153" s="127" t="s">
        <v>765</v>
      </c>
      <c r="K153" s="43"/>
      <c r="L153" s="43"/>
    </row>
    <row r="154" spans="1:12">
      <c r="A154" s="125">
        <v>2025</v>
      </c>
      <c r="B154" s="126" t="s">
        <v>762</v>
      </c>
      <c r="C154" s="110">
        <v>2</v>
      </c>
      <c r="D154" s="127" t="s">
        <v>590</v>
      </c>
      <c r="E154" s="127"/>
      <c r="F154" s="110">
        <v>3</v>
      </c>
      <c r="G154" s="126" t="s">
        <v>588</v>
      </c>
      <c r="H154" s="110" t="s">
        <v>754</v>
      </c>
      <c r="I154" s="111">
        <v>6</v>
      </c>
      <c r="J154" s="127" t="s">
        <v>755</v>
      </c>
      <c r="K154" s="43"/>
      <c r="L154" s="43"/>
    </row>
    <row r="155" spans="1:12" ht="91.5">
      <c r="A155" s="125">
        <v>2025</v>
      </c>
      <c r="B155" s="126" t="s">
        <v>762</v>
      </c>
      <c r="C155" s="110">
        <v>8</v>
      </c>
      <c r="D155" s="127" t="s">
        <v>634</v>
      </c>
      <c r="E155" s="127"/>
      <c r="F155" s="110">
        <v>3</v>
      </c>
      <c r="G155" s="127" t="s">
        <v>710</v>
      </c>
      <c r="H155" s="110" t="s">
        <v>754</v>
      </c>
      <c r="I155" s="111">
        <v>3</v>
      </c>
      <c r="J155" s="127" t="s">
        <v>711</v>
      </c>
      <c r="K155" s="43"/>
      <c r="L155" s="43"/>
    </row>
    <row r="156" spans="1:12" ht="76.5">
      <c r="A156" s="125">
        <v>2025</v>
      </c>
      <c r="B156" s="126" t="s">
        <v>762</v>
      </c>
      <c r="C156" s="110">
        <v>10</v>
      </c>
      <c r="D156" s="127" t="s">
        <v>599</v>
      </c>
      <c r="E156" s="127"/>
      <c r="F156" s="110">
        <v>3</v>
      </c>
      <c r="G156" s="127" t="s">
        <v>710</v>
      </c>
      <c r="H156" s="110" t="s">
        <v>754</v>
      </c>
      <c r="I156" s="111">
        <v>3</v>
      </c>
      <c r="J156" s="127" t="s">
        <v>721</v>
      </c>
      <c r="K156" s="43"/>
      <c r="L156" s="43"/>
    </row>
    <row r="157" spans="1:12" ht="60.75">
      <c r="A157" s="125">
        <v>2025</v>
      </c>
      <c r="B157" s="126" t="s">
        <v>762</v>
      </c>
      <c r="C157" s="110">
        <v>20</v>
      </c>
      <c r="D157" s="127" t="s">
        <v>707</v>
      </c>
      <c r="E157" s="127"/>
      <c r="F157" s="110">
        <v>4</v>
      </c>
      <c r="G157" s="127" t="s">
        <v>708</v>
      </c>
      <c r="H157" s="110" t="s">
        <v>640</v>
      </c>
      <c r="I157" s="111">
        <v>3</v>
      </c>
      <c r="J157" s="127" t="s">
        <v>766</v>
      </c>
      <c r="K157" s="43"/>
      <c r="L157" s="43"/>
    </row>
    <row r="158" spans="1:12">
      <c r="A158" s="125">
        <v>2025</v>
      </c>
      <c r="B158" s="126" t="s">
        <v>762</v>
      </c>
      <c r="C158" s="110">
        <v>30</v>
      </c>
      <c r="D158" s="127" t="s">
        <v>713</v>
      </c>
      <c r="E158" s="127"/>
      <c r="F158" s="110">
        <v>4</v>
      </c>
      <c r="G158" s="126" t="s">
        <v>588</v>
      </c>
      <c r="H158" s="110" t="s">
        <v>640</v>
      </c>
      <c r="I158" s="111">
        <v>9</v>
      </c>
      <c r="J158" s="127" t="s">
        <v>767</v>
      </c>
      <c r="K158" s="43"/>
      <c r="L158" s="43"/>
    </row>
    <row r="159" spans="1:12">
      <c r="A159" s="125">
        <v>2025</v>
      </c>
      <c r="B159" s="126" t="s">
        <v>762</v>
      </c>
      <c r="C159" s="110">
        <v>2</v>
      </c>
      <c r="D159" s="127" t="s">
        <v>590</v>
      </c>
      <c r="E159" s="127"/>
      <c r="F159" s="110">
        <v>5</v>
      </c>
      <c r="G159" s="126" t="s">
        <v>620</v>
      </c>
      <c r="H159" s="110" t="s">
        <v>644</v>
      </c>
      <c r="I159" s="111">
        <v>3</v>
      </c>
      <c r="J159" s="127" t="s">
        <v>738</v>
      </c>
      <c r="K159" s="43"/>
      <c r="L159" s="43"/>
    </row>
    <row r="160" spans="1:12">
      <c r="A160" s="125">
        <v>2025</v>
      </c>
      <c r="B160" s="126" t="s">
        <v>762</v>
      </c>
      <c r="C160" s="110">
        <v>30</v>
      </c>
      <c r="D160" s="127" t="s">
        <v>713</v>
      </c>
      <c r="E160" s="127"/>
      <c r="F160" s="110">
        <v>5</v>
      </c>
      <c r="G160" s="126" t="s">
        <v>588</v>
      </c>
      <c r="H160" s="110" t="s">
        <v>644</v>
      </c>
      <c r="I160" s="111">
        <v>3</v>
      </c>
      <c r="J160" s="127" t="s">
        <v>768</v>
      </c>
      <c r="K160" s="43"/>
      <c r="L160" s="43"/>
    </row>
    <row r="161" spans="1:12" ht="76.5">
      <c r="A161" s="125">
        <v>2025</v>
      </c>
      <c r="B161" s="126" t="s">
        <v>762</v>
      </c>
      <c r="C161" s="110">
        <v>50</v>
      </c>
      <c r="D161" s="127" t="s">
        <v>724</v>
      </c>
      <c r="E161" s="127"/>
      <c r="F161" s="110">
        <v>5</v>
      </c>
      <c r="G161" s="126" t="s">
        <v>655</v>
      </c>
      <c r="H161" s="110" t="s">
        <v>644</v>
      </c>
      <c r="I161" s="111" t="s">
        <v>759</v>
      </c>
      <c r="J161" s="127" t="s">
        <v>760</v>
      </c>
      <c r="K161" s="43"/>
      <c r="L161" s="43"/>
    </row>
    <row r="162" spans="1:12" ht="137.25">
      <c r="A162" s="125">
        <v>2025</v>
      </c>
      <c r="B162" s="126" t="s">
        <v>762</v>
      </c>
      <c r="C162" s="110">
        <v>60</v>
      </c>
      <c r="D162" s="127" t="s">
        <v>729</v>
      </c>
      <c r="E162" s="127"/>
      <c r="F162" s="110">
        <v>5</v>
      </c>
      <c r="G162" s="126" t="s">
        <v>607</v>
      </c>
      <c r="H162" s="110" t="s">
        <v>644</v>
      </c>
      <c r="I162" s="111">
        <v>4</v>
      </c>
      <c r="J162" s="127" t="s">
        <v>769</v>
      </c>
      <c r="K162" s="43"/>
      <c r="L162" s="43"/>
    </row>
    <row r="163" spans="1:12">
      <c r="A163" s="125">
        <v>2025</v>
      </c>
      <c r="B163" s="126" t="s">
        <v>770</v>
      </c>
      <c r="C163" s="110">
        <v>1</v>
      </c>
      <c r="D163" s="127" t="s">
        <v>587</v>
      </c>
      <c r="E163" s="127"/>
      <c r="F163" s="110">
        <v>1</v>
      </c>
      <c r="G163" s="126" t="s">
        <v>588</v>
      </c>
      <c r="H163" s="110" t="s">
        <v>626</v>
      </c>
      <c r="I163" s="111">
        <v>1</v>
      </c>
      <c r="J163" s="127" t="s">
        <v>589</v>
      </c>
      <c r="K163" s="43"/>
      <c r="L163" s="43"/>
    </row>
    <row r="164" spans="1:12" ht="60.75">
      <c r="A164" s="125">
        <v>2025</v>
      </c>
      <c r="B164" s="126" t="s">
        <v>770</v>
      </c>
      <c r="C164" s="110">
        <v>20</v>
      </c>
      <c r="D164" s="127" t="s">
        <v>707</v>
      </c>
      <c r="E164" s="127"/>
      <c r="F164" s="110">
        <v>1</v>
      </c>
      <c r="G164" s="127" t="s">
        <v>708</v>
      </c>
      <c r="H164" s="110" t="s">
        <v>626</v>
      </c>
      <c r="I164" s="111">
        <v>9</v>
      </c>
      <c r="J164" s="127" t="s">
        <v>750</v>
      </c>
      <c r="K164" s="43"/>
      <c r="L164" s="43"/>
    </row>
    <row r="165" spans="1:12">
      <c r="A165" s="125">
        <v>2025</v>
      </c>
      <c r="B165" s="126" t="s">
        <v>770</v>
      </c>
      <c r="C165" s="110">
        <v>30</v>
      </c>
      <c r="D165" s="127" t="s">
        <v>713</v>
      </c>
      <c r="E165" s="127"/>
      <c r="F165" s="110">
        <v>1</v>
      </c>
      <c r="G165" s="126" t="s">
        <v>588</v>
      </c>
      <c r="H165" s="110" t="s">
        <v>626</v>
      </c>
      <c r="I165" s="111">
        <v>3</v>
      </c>
      <c r="J165" s="127" t="s">
        <v>751</v>
      </c>
      <c r="K165" s="43"/>
      <c r="L165" s="43"/>
    </row>
    <row r="166" spans="1:12" ht="60.75">
      <c r="A166" s="125">
        <v>2025</v>
      </c>
      <c r="B166" s="126" t="s">
        <v>770</v>
      </c>
      <c r="C166" s="110">
        <v>20</v>
      </c>
      <c r="D166" s="127" t="s">
        <v>707</v>
      </c>
      <c r="E166" s="127"/>
      <c r="F166" s="110">
        <v>2</v>
      </c>
      <c r="G166" s="127" t="s">
        <v>708</v>
      </c>
      <c r="H166" s="110" t="s">
        <v>632</v>
      </c>
      <c r="I166" s="111">
        <v>6</v>
      </c>
      <c r="J166" s="127" t="s">
        <v>771</v>
      </c>
      <c r="K166" s="43"/>
      <c r="L166" s="43"/>
    </row>
    <row r="167" spans="1:12">
      <c r="A167" s="125">
        <v>2025</v>
      </c>
      <c r="B167" s="126" t="s">
        <v>770</v>
      </c>
      <c r="C167" s="110">
        <v>30</v>
      </c>
      <c r="D167" s="127" t="s">
        <v>713</v>
      </c>
      <c r="E167" s="127"/>
      <c r="F167" s="110">
        <v>2</v>
      </c>
      <c r="G167" s="126" t="s">
        <v>588</v>
      </c>
      <c r="H167" s="110" t="s">
        <v>632</v>
      </c>
      <c r="I167" s="111">
        <v>6</v>
      </c>
      <c r="J167" s="127" t="s">
        <v>772</v>
      </c>
      <c r="K167" s="43"/>
      <c r="L167" s="43"/>
    </row>
    <row r="168" spans="1:12">
      <c r="A168" s="125">
        <v>2025</v>
      </c>
      <c r="B168" s="126" t="s">
        <v>770</v>
      </c>
      <c r="C168" s="110">
        <v>2</v>
      </c>
      <c r="D168" s="127" t="s">
        <v>590</v>
      </c>
      <c r="E168" s="127"/>
      <c r="F168" s="110">
        <v>3</v>
      </c>
      <c r="G168" s="126" t="s">
        <v>588</v>
      </c>
      <c r="H168" s="110" t="s">
        <v>754</v>
      </c>
      <c r="I168" s="111">
        <v>6</v>
      </c>
      <c r="J168" s="127" t="s">
        <v>755</v>
      </c>
      <c r="K168" s="43"/>
      <c r="L168" s="43"/>
    </row>
    <row r="169" spans="1:12" ht="91.5">
      <c r="A169" s="125">
        <v>2025</v>
      </c>
      <c r="B169" s="126" t="s">
        <v>770</v>
      </c>
      <c r="C169" s="110">
        <v>8</v>
      </c>
      <c r="D169" s="127" t="s">
        <v>634</v>
      </c>
      <c r="E169" s="127"/>
      <c r="F169" s="110">
        <v>3</v>
      </c>
      <c r="G169" s="127" t="s">
        <v>710</v>
      </c>
      <c r="H169" s="110" t="s">
        <v>754</v>
      </c>
      <c r="I169" s="111">
        <v>3</v>
      </c>
      <c r="J169" s="127" t="s">
        <v>711</v>
      </c>
      <c r="K169" s="43"/>
      <c r="L169" s="43"/>
    </row>
    <row r="170" spans="1:12" ht="76.5">
      <c r="A170" s="125">
        <v>2025</v>
      </c>
      <c r="B170" s="126" t="s">
        <v>770</v>
      </c>
      <c r="C170" s="110">
        <v>10</v>
      </c>
      <c r="D170" s="127" t="s">
        <v>599</v>
      </c>
      <c r="E170" s="127"/>
      <c r="F170" s="110">
        <v>3</v>
      </c>
      <c r="G170" s="127" t="s">
        <v>710</v>
      </c>
      <c r="H170" s="110" t="s">
        <v>754</v>
      </c>
      <c r="I170" s="111">
        <v>3</v>
      </c>
      <c r="J170" s="127" t="s">
        <v>721</v>
      </c>
      <c r="K170" s="43"/>
      <c r="L170" s="43"/>
    </row>
    <row r="171" spans="1:12">
      <c r="A171" s="125">
        <v>2025</v>
      </c>
      <c r="B171" s="126" t="s">
        <v>770</v>
      </c>
      <c r="C171" s="110">
        <v>2</v>
      </c>
      <c r="D171" s="127" t="s">
        <v>590</v>
      </c>
      <c r="E171" s="127"/>
      <c r="F171" s="110">
        <v>4</v>
      </c>
      <c r="G171" s="126" t="s">
        <v>620</v>
      </c>
      <c r="H171" s="110" t="s">
        <v>640</v>
      </c>
      <c r="I171" s="111">
        <v>3</v>
      </c>
      <c r="J171" s="127" t="s">
        <v>738</v>
      </c>
      <c r="K171" s="43"/>
      <c r="L171" s="43"/>
    </row>
    <row r="172" spans="1:12" ht="60.75">
      <c r="A172" s="125">
        <v>2025</v>
      </c>
      <c r="B172" s="126" t="s">
        <v>770</v>
      </c>
      <c r="C172" s="110">
        <v>20</v>
      </c>
      <c r="D172" s="127" t="s">
        <v>707</v>
      </c>
      <c r="E172" s="127"/>
      <c r="F172" s="110">
        <v>4</v>
      </c>
      <c r="G172" s="127" t="s">
        <v>708</v>
      </c>
      <c r="H172" s="110" t="s">
        <v>640</v>
      </c>
      <c r="I172" s="111">
        <v>3</v>
      </c>
      <c r="J172" s="127" t="s">
        <v>773</v>
      </c>
      <c r="K172" s="43"/>
      <c r="L172" s="43"/>
    </row>
    <row r="173" spans="1:12">
      <c r="A173" s="125">
        <v>2025</v>
      </c>
      <c r="B173" s="126" t="s">
        <v>770</v>
      </c>
      <c r="C173" s="110">
        <v>30</v>
      </c>
      <c r="D173" s="127" t="s">
        <v>713</v>
      </c>
      <c r="E173" s="127"/>
      <c r="F173" s="110">
        <v>4</v>
      </c>
      <c r="G173" s="126" t="s">
        <v>588</v>
      </c>
      <c r="H173" s="110" t="s">
        <v>640</v>
      </c>
      <c r="I173" s="111">
        <v>9</v>
      </c>
      <c r="J173" s="127" t="s">
        <v>774</v>
      </c>
      <c r="K173" s="43"/>
      <c r="L173" s="43"/>
    </row>
    <row r="174" spans="1:12">
      <c r="A174" s="125">
        <v>2025</v>
      </c>
      <c r="B174" s="126" t="s">
        <v>770</v>
      </c>
      <c r="C174" s="110">
        <v>30</v>
      </c>
      <c r="D174" s="127" t="s">
        <v>713</v>
      </c>
      <c r="E174" s="127"/>
      <c r="F174" s="110">
        <v>5</v>
      </c>
      <c r="G174" s="126" t="s">
        <v>588</v>
      </c>
      <c r="H174" s="110" t="s">
        <v>644</v>
      </c>
      <c r="I174" s="111">
        <v>6</v>
      </c>
      <c r="J174" s="127" t="s">
        <v>775</v>
      </c>
      <c r="K174" s="43"/>
      <c r="L174" s="43"/>
    </row>
    <row r="175" spans="1:12" ht="76.5">
      <c r="A175" s="125">
        <v>2025</v>
      </c>
      <c r="B175" s="126" t="s">
        <v>770</v>
      </c>
      <c r="C175" s="110">
        <v>50</v>
      </c>
      <c r="D175" s="127" t="s">
        <v>724</v>
      </c>
      <c r="E175" s="127"/>
      <c r="F175" s="110">
        <v>5</v>
      </c>
      <c r="G175" s="126" t="s">
        <v>655</v>
      </c>
      <c r="H175" s="110" t="s">
        <v>644</v>
      </c>
      <c r="I175" s="111" t="s">
        <v>759</v>
      </c>
      <c r="J175" s="127" t="s">
        <v>760</v>
      </c>
      <c r="K175" s="43"/>
      <c r="L175" s="43"/>
    </row>
    <row r="176" spans="1:12" ht="137.25">
      <c r="A176" s="125">
        <v>2025</v>
      </c>
      <c r="B176" s="126" t="s">
        <v>770</v>
      </c>
      <c r="C176" s="110">
        <v>60</v>
      </c>
      <c r="D176" s="127" t="s">
        <v>729</v>
      </c>
      <c r="E176" s="127"/>
      <c r="F176" s="110">
        <v>5</v>
      </c>
      <c r="G176" s="126" t="s">
        <v>607</v>
      </c>
      <c r="H176" s="110" t="s">
        <v>644</v>
      </c>
      <c r="I176" s="111">
        <v>4</v>
      </c>
      <c r="J176" s="127" t="s">
        <v>776</v>
      </c>
      <c r="K176" s="43"/>
      <c r="L176" s="43"/>
    </row>
    <row r="177" spans="1:12">
      <c r="A177" s="125">
        <v>2025</v>
      </c>
      <c r="B177" s="126" t="s">
        <v>777</v>
      </c>
      <c r="C177" s="110">
        <v>1</v>
      </c>
      <c r="D177" s="127" t="s">
        <v>587</v>
      </c>
      <c r="E177" s="127"/>
      <c r="F177" s="110">
        <v>1</v>
      </c>
      <c r="G177" s="126" t="s">
        <v>588</v>
      </c>
      <c r="H177" s="110" t="s">
        <v>626</v>
      </c>
      <c r="I177" s="111">
        <v>1</v>
      </c>
      <c r="J177" s="127" t="s">
        <v>589</v>
      </c>
      <c r="K177" s="43"/>
      <c r="L177" s="43"/>
    </row>
    <row r="178" spans="1:12" ht="60.75">
      <c r="A178" s="125">
        <v>2025</v>
      </c>
      <c r="B178" s="126" t="s">
        <v>777</v>
      </c>
      <c r="C178" s="110">
        <v>20</v>
      </c>
      <c r="D178" s="127" t="s">
        <v>707</v>
      </c>
      <c r="E178" s="127"/>
      <c r="F178" s="110">
        <v>1</v>
      </c>
      <c r="G178" s="127" t="s">
        <v>708</v>
      </c>
      <c r="H178" s="110" t="s">
        <v>626</v>
      </c>
      <c r="I178" s="111">
        <v>9</v>
      </c>
      <c r="J178" s="127" t="s">
        <v>750</v>
      </c>
      <c r="K178" s="43"/>
      <c r="L178" s="43"/>
    </row>
    <row r="179" spans="1:12">
      <c r="A179" s="125">
        <v>2025</v>
      </c>
      <c r="B179" s="126" t="s">
        <v>777</v>
      </c>
      <c r="C179" s="110">
        <v>30</v>
      </c>
      <c r="D179" s="127" t="s">
        <v>713</v>
      </c>
      <c r="E179" s="127"/>
      <c r="F179" s="110">
        <v>1</v>
      </c>
      <c r="G179" s="126" t="s">
        <v>588</v>
      </c>
      <c r="H179" s="110" t="s">
        <v>626</v>
      </c>
      <c r="I179" s="111">
        <v>3</v>
      </c>
      <c r="J179" s="127" t="s">
        <v>778</v>
      </c>
      <c r="K179" s="43"/>
      <c r="L179" s="43"/>
    </row>
    <row r="180" spans="1:12" ht="60.75">
      <c r="A180" s="125">
        <v>2025</v>
      </c>
      <c r="B180" s="126" t="s">
        <v>777</v>
      </c>
      <c r="C180" s="110">
        <v>20</v>
      </c>
      <c r="D180" s="127" t="s">
        <v>707</v>
      </c>
      <c r="E180" s="127"/>
      <c r="F180" s="110">
        <v>2</v>
      </c>
      <c r="G180" s="127" t="s">
        <v>708</v>
      </c>
      <c r="H180" s="110" t="s">
        <v>632</v>
      </c>
      <c r="I180" s="111">
        <v>3</v>
      </c>
      <c r="J180" s="127" t="s">
        <v>779</v>
      </c>
      <c r="K180" s="43"/>
      <c r="L180" s="43"/>
    </row>
    <row r="181" spans="1:12">
      <c r="A181" s="125">
        <v>2025</v>
      </c>
      <c r="B181" s="126" t="s">
        <v>777</v>
      </c>
      <c r="C181" s="110">
        <v>30</v>
      </c>
      <c r="D181" s="127" t="s">
        <v>713</v>
      </c>
      <c r="E181" s="127"/>
      <c r="F181" s="110">
        <v>2</v>
      </c>
      <c r="G181" s="126" t="s">
        <v>588</v>
      </c>
      <c r="H181" s="110" t="s">
        <v>632</v>
      </c>
      <c r="I181" s="111">
        <v>9</v>
      </c>
      <c r="J181" s="127" t="s">
        <v>780</v>
      </c>
      <c r="K181" s="43"/>
      <c r="L181" s="43"/>
    </row>
    <row r="182" spans="1:12">
      <c r="A182" s="125">
        <v>2025</v>
      </c>
      <c r="B182" s="126" t="s">
        <v>777</v>
      </c>
      <c r="C182" s="110">
        <v>2</v>
      </c>
      <c r="D182" s="127" t="s">
        <v>590</v>
      </c>
      <c r="E182" s="127"/>
      <c r="F182" s="110">
        <v>3</v>
      </c>
      <c r="G182" s="126" t="s">
        <v>588</v>
      </c>
      <c r="H182" s="110" t="s">
        <v>754</v>
      </c>
      <c r="I182" s="111">
        <v>6</v>
      </c>
      <c r="J182" s="127" t="s">
        <v>755</v>
      </c>
      <c r="K182" s="43"/>
      <c r="L182" s="43"/>
    </row>
    <row r="183" spans="1:12" ht="91.5">
      <c r="A183" s="125">
        <v>2025</v>
      </c>
      <c r="B183" s="126" t="s">
        <v>777</v>
      </c>
      <c r="C183" s="110">
        <v>8</v>
      </c>
      <c r="D183" s="127" t="s">
        <v>634</v>
      </c>
      <c r="E183" s="127"/>
      <c r="F183" s="110">
        <v>3</v>
      </c>
      <c r="G183" s="127" t="s">
        <v>710</v>
      </c>
      <c r="H183" s="110" t="s">
        <v>754</v>
      </c>
      <c r="I183" s="111">
        <v>3</v>
      </c>
      <c r="J183" s="127" t="s">
        <v>711</v>
      </c>
      <c r="K183" s="43"/>
      <c r="L183" s="43"/>
    </row>
    <row r="184" spans="1:12" ht="76.5">
      <c r="A184" s="125">
        <v>2025</v>
      </c>
      <c r="B184" s="126" t="s">
        <v>777</v>
      </c>
      <c r="C184" s="110">
        <v>10</v>
      </c>
      <c r="D184" s="127" t="s">
        <v>599</v>
      </c>
      <c r="E184" s="127"/>
      <c r="F184" s="110">
        <v>3</v>
      </c>
      <c r="G184" s="127" t="s">
        <v>710</v>
      </c>
      <c r="H184" s="110" t="s">
        <v>754</v>
      </c>
      <c r="I184" s="111">
        <v>3</v>
      </c>
      <c r="J184" s="127" t="s">
        <v>721</v>
      </c>
      <c r="K184" s="43"/>
      <c r="L184" s="43"/>
    </row>
    <row r="185" spans="1:12" ht="60.75">
      <c r="A185" s="125">
        <v>2025</v>
      </c>
      <c r="B185" s="126" t="s">
        <v>777</v>
      </c>
      <c r="C185" s="110">
        <v>20</v>
      </c>
      <c r="D185" s="127" t="s">
        <v>707</v>
      </c>
      <c r="E185" s="127"/>
      <c r="F185" s="110">
        <v>4</v>
      </c>
      <c r="G185" s="127" t="s">
        <v>708</v>
      </c>
      <c r="H185" s="110" t="s">
        <v>640</v>
      </c>
      <c r="I185" s="111">
        <v>6</v>
      </c>
      <c r="J185" s="127" t="s">
        <v>781</v>
      </c>
      <c r="K185" s="43"/>
      <c r="L185" s="43"/>
    </row>
    <row r="186" spans="1:12">
      <c r="A186" s="125">
        <v>2025</v>
      </c>
      <c r="B186" s="126" t="s">
        <v>777</v>
      </c>
      <c r="C186" s="110">
        <v>30</v>
      </c>
      <c r="D186" s="127" t="s">
        <v>713</v>
      </c>
      <c r="E186" s="127"/>
      <c r="F186" s="110">
        <v>4</v>
      </c>
      <c r="G186" s="126" t="s">
        <v>588</v>
      </c>
      <c r="H186" s="110" t="s">
        <v>640</v>
      </c>
      <c r="I186" s="111">
        <v>9</v>
      </c>
      <c r="J186" s="127" t="s">
        <v>782</v>
      </c>
      <c r="K186" s="43"/>
      <c r="L186" s="43"/>
    </row>
    <row r="187" spans="1:12">
      <c r="A187" s="125">
        <v>2025</v>
      </c>
      <c r="B187" s="126" t="s">
        <v>777</v>
      </c>
      <c r="C187" s="110">
        <v>2</v>
      </c>
      <c r="D187" s="127" t="s">
        <v>590</v>
      </c>
      <c r="E187" s="127"/>
      <c r="F187" s="110">
        <v>5</v>
      </c>
      <c r="G187" s="126" t="s">
        <v>620</v>
      </c>
      <c r="H187" s="110" t="s">
        <v>644</v>
      </c>
      <c r="I187" s="111">
        <v>3</v>
      </c>
      <c r="J187" s="127" t="s">
        <v>738</v>
      </c>
      <c r="K187" s="43"/>
      <c r="L187" s="43"/>
    </row>
    <row r="188" spans="1:12">
      <c r="A188" s="125">
        <v>2025</v>
      </c>
      <c r="B188" s="126" t="s">
        <v>777</v>
      </c>
      <c r="C188" s="110">
        <v>30</v>
      </c>
      <c r="D188" s="127" t="s">
        <v>713</v>
      </c>
      <c r="E188" s="127"/>
      <c r="F188" s="110">
        <v>5</v>
      </c>
      <c r="G188" s="126" t="s">
        <v>588</v>
      </c>
      <c r="H188" s="110" t="s">
        <v>644</v>
      </c>
      <c r="I188" s="111">
        <v>3</v>
      </c>
      <c r="J188" s="127" t="s">
        <v>783</v>
      </c>
      <c r="K188" s="43"/>
      <c r="L188" s="43"/>
    </row>
    <row r="189" spans="1:12" ht="76.5">
      <c r="A189" s="125">
        <v>2025</v>
      </c>
      <c r="B189" s="126" t="s">
        <v>777</v>
      </c>
      <c r="C189" s="110">
        <v>50</v>
      </c>
      <c r="D189" s="127" t="s">
        <v>724</v>
      </c>
      <c r="E189" s="127"/>
      <c r="F189" s="110">
        <v>5</v>
      </c>
      <c r="G189" s="126" t="s">
        <v>655</v>
      </c>
      <c r="H189" s="110" t="s">
        <v>644</v>
      </c>
      <c r="I189" s="111" t="s">
        <v>759</v>
      </c>
      <c r="J189" s="127" t="s">
        <v>760</v>
      </c>
      <c r="K189" s="43"/>
      <c r="L189" s="43"/>
    </row>
    <row r="190" spans="1:12" ht="137.25">
      <c r="A190" s="125">
        <v>2025</v>
      </c>
      <c r="B190" s="126" t="s">
        <v>777</v>
      </c>
      <c r="C190" s="110">
        <v>60</v>
      </c>
      <c r="D190" s="127" t="s">
        <v>729</v>
      </c>
      <c r="E190" s="127"/>
      <c r="F190" s="110">
        <v>5</v>
      </c>
      <c r="G190" s="126" t="s">
        <v>607</v>
      </c>
      <c r="H190" s="110" t="s">
        <v>644</v>
      </c>
      <c r="I190" s="111">
        <v>4</v>
      </c>
      <c r="J190" s="127" t="s">
        <v>784</v>
      </c>
      <c r="K190" s="43"/>
      <c r="L190" s="43"/>
    </row>
    <row r="191" spans="1:12">
      <c r="A191" s="125">
        <v>2025</v>
      </c>
      <c r="B191" s="126" t="s">
        <v>785</v>
      </c>
      <c r="C191" s="110">
        <v>1</v>
      </c>
      <c r="D191" s="127" t="s">
        <v>587</v>
      </c>
      <c r="E191" s="127"/>
      <c r="F191" s="110">
        <v>1</v>
      </c>
      <c r="G191" s="126" t="s">
        <v>588</v>
      </c>
      <c r="H191" s="110" t="s">
        <v>626</v>
      </c>
      <c r="I191" s="111">
        <v>1</v>
      </c>
      <c r="J191" s="126" t="s">
        <v>589</v>
      </c>
      <c r="K191" s="43"/>
      <c r="L191" s="43"/>
    </row>
    <row r="192" spans="1:12">
      <c r="A192" s="125">
        <v>2025</v>
      </c>
      <c r="B192" s="126" t="s">
        <v>785</v>
      </c>
      <c r="C192" s="110">
        <v>2</v>
      </c>
      <c r="D192" s="127" t="s">
        <v>590</v>
      </c>
      <c r="E192" s="127"/>
      <c r="F192" s="110">
        <v>1</v>
      </c>
      <c r="G192" s="126" t="s">
        <v>588</v>
      </c>
      <c r="H192" s="110" t="s">
        <v>626</v>
      </c>
      <c r="I192" s="111">
        <v>6</v>
      </c>
      <c r="J192" s="127" t="s">
        <v>786</v>
      </c>
      <c r="K192" s="43"/>
      <c r="L192" s="43"/>
    </row>
    <row r="193" spans="1:12">
      <c r="A193" s="125">
        <v>2025</v>
      </c>
      <c r="B193" s="126" t="s">
        <v>785</v>
      </c>
      <c r="C193" s="110">
        <v>12</v>
      </c>
      <c r="D193" s="127" t="s">
        <v>602</v>
      </c>
      <c r="E193" s="127"/>
      <c r="F193" s="110">
        <v>1</v>
      </c>
      <c r="G193" s="126" t="s">
        <v>620</v>
      </c>
      <c r="H193" s="110" t="s">
        <v>626</v>
      </c>
      <c r="I193" s="111" t="s">
        <v>604</v>
      </c>
      <c r="J193" s="127" t="s">
        <v>605</v>
      </c>
      <c r="K193" s="43"/>
      <c r="L193" s="43"/>
    </row>
    <row r="194" spans="1:12" ht="60.75">
      <c r="A194" s="125">
        <v>2025</v>
      </c>
      <c r="B194" s="126" t="s">
        <v>785</v>
      </c>
      <c r="C194" s="110">
        <v>20</v>
      </c>
      <c r="D194" s="127" t="s">
        <v>707</v>
      </c>
      <c r="E194" s="127"/>
      <c r="F194" s="110">
        <v>1</v>
      </c>
      <c r="G194" s="127" t="s">
        <v>708</v>
      </c>
      <c r="H194" s="110" t="s">
        <v>626</v>
      </c>
      <c r="I194" s="111">
        <v>7</v>
      </c>
      <c r="J194" s="127" t="s">
        <v>787</v>
      </c>
      <c r="K194" s="43"/>
      <c r="L194" s="43"/>
    </row>
    <row r="195" spans="1:12" ht="60.75">
      <c r="A195" s="125">
        <v>2025</v>
      </c>
      <c r="B195" s="126" t="s">
        <v>785</v>
      </c>
      <c r="C195" s="110">
        <v>20</v>
      </c>
      <c r="D195" s="127" t="s">
        <v>707</v>
      </c>
      <c r="E195" s="127"/>
      <c r="F195" s="110">
        <v>2</v>
      </c>
      <c r="G195" s="127" t="s">
        <v>708</v>
      </c>
      <c r="H195" s="110" t="s">
        <v>632</v>
      </c>
      <c r="I195" s="111">
        <v>13</v>
      </c>
      <c r="J195" s="127" t="s">
        <v>788</v>
      </c>
      <c r="K195" s="43"/>
      <c r="L195" s="43"/>
    </row>
    <row r="196" spans="1:12">
      <c r="A196" s="125">
        <v>2025</v>
      </c>
      <c r="B196" s="126" t="s">
        <v>785</v>
      </c>
      <c r="C196" s="110">
        <v>30</v>
      </c>
      <c r="D196" s="127" t="s">
        <v>713</v>
      </c>
      <c r="E196" s="127"/>
      <c r="F196" s="110">
        <v>2</v>
      </c>
      <c r="G196" s="126" t="s">
        <v>588</v>
      </c>
      <c r="H196" s="110" t="s">
        <v>632</v>
      </c>
      <c r="I196" s="111">
        <v>5</v>
      </c>
      <c r="J196" s="127" t="s">
        <v>789</v>
      </c>
      <c r="K196" s="43"/>
      <c r="L196" s="43"/>
    </row>
    <row r="197" spans="1:12">
      <c r="A197" s="125">
        <v>2025</v>
      </c>
      <c r="B197" s="126" t="s">
        <v>785</v>
      </c>
      <c r="C197" s="110">
        <v>2</v>
      </c>
      <c r="D197" s="127" t="s">
        <v>590</v>
      </c>
      <c r="E197" s="127"/>
      <c r="F197" s="110">
        <v>3</v>
      </c>
      <c r="G197" s="127" t="s">
        <v>620</v>
      </c>
      <c r="H197" s="110" t="s">
        <v>754</v>
      </c>
      <c r="I197" s="111">
        <v>3</v>
      </c>
      <c r="J197" s="127" t="s">
        <v>738</v>
      </c>
      <c r="K197" s="43"/>
      <c r="L197" s="43"/>
    </row>
    <row r="198" spans="1:12" ht="91.5">
      <c r="A198" s="125">
        <v>2025</v>
      </c>
      <c r="B198" s="126" t="s">
        <v>785</v>
      </c>
      <c r="C198" s="110">
        <v>8</v>
      </c>
      <c r="D198" s="127" t="s">
        <v>634</v>
      </c>
      <c r="E198" s="127"/>
      <c r="F198" s="110">
        <v>3</v>
      </c>
      <c r="G198" s="127" t="s">
        <v>620</v>
      </c>
      <c r="H198" s="110" t="s">
        <v>754</v>
      </c>
      <c r="I198" s="111">
        <v>3</v>
      </c>
      <c r="J198" s="127" t="s">
        <v>711</v>
      </c>
      <c r="K198" s="43"/>
      <c r="L198" s="43"/>
    </row>
    <row r="199" spans="1:12" ht="60.75">
      <c r="A199" s="125">
        <v>2025</v>
      </c>
      <c r="B199" s="126" t="s">
        <v>785</v>
      </c>
      <c r="C199" s="110">
        <v>20</v>
      </c>
      <c r="D199" s="127" t="s">
        <v>707</v>
      </c>
      <c r="E199" s="127"/>
      <c r="F199" s="110">
        <v>4</v>
      </c>
      <c r="G199" s="127" t="s">
        <v>708</v>
      </c>
      <c r="H199" s="110" t="s">
        <v>640</v>
      </c>
      <c r="I199" s="111">
        <v>10</v>
      </c>
      <c r="J199" s="127" t="s">
        <v>790</v>
      </c>
      <c r="K199" s="43"/>
      <c r="L199" s="43"/>
    </row>
    <row r="200" spans="1:12">
      <c r="A200" s="125">
        <v>2025</v>
      </c>
      <c r="B200" s="126" t="s">
        <v>785</v>
      </c>
      <c r="C200" s="110">
        <v>30</v>
      </c>
      <c r="D200" s="127" t="s">
        <v>713</v>
      </c>
      <c r="E200" s="127"/>
      <c r="F200" s="110">
        <v>4</v>
      </c>
      <c r="G200" s="126" t="s">
        <v>588</v>
      </c>
      <c r="H200" s="110" t="s">
        <v>640</v>
      </c>
      <c r="I200" s="111">
        <v>3</v>
      </c>
      <c r="J200" s="127" t="s">
        <v>791</v>
      </c>
      <c r="K200" s="43"/>
      <c r="L200" s="43"/>
    </row>
    <row r="201" spans="1:12">
      <c r="A201" s="125">
        <v>2025</v>
      </c>
      <c r="B201" s="126" t="s">
        <v>785</v>
      </c>
      <c r="C201" s="110">
        <v>30</v>
      </c>
      <c r="D201" s="127" t="s">
        <v>713</v>
      </c>
      <c r="E201" s="127"/>
      <c r="F201" s="110">
        <v>5</v>
      </c>
      <c r="G201" s="126" t="s">
        <v>588</v>
      </c>
      <c r="H201" s="110" t="s">
        <v>644</v>
      </c>
      <c r="I201" s="111">
        <v>10</v>
      </c>
      <c r="J201" s="127" t="s">
        <v>792</v>
      </c>
      <c r="K201" s="43"/>
      <c r="L201" s="43"/>
    </row>
    <row r="202" spans="1:12" ht="183">
      <c r="A202" s="125">
        <v>2025</v>
      </c>
      <c r="B202" s="126" t="s">
        <v>785</v>
      </c>
      <c r="C202" s="110">
        <v>50</v>
      </c>
      <c r="D202" s="127" t="s">
        <v>724</v>
      </c>
      <c r="E202" s="127"/>
      <c r="F202" s="110">
        <v>5</v>
      </c>
      <c r="G202" s="126" t="s">
        <v>655</v>
      </c>
      <c r="H202" s="110" t="s">
        <v>644</v>
      </c>
      <c r="I202" s="111" t="s">
        <v>716</v>
      </c>
      <c r="J202" s="127" t="s">
        <v>793</v>
      </c>
      <c r="K202" s="43"/>
      <c r="L202" s="43"/>
    </row>
    <row r="203" spans="1:12">
      <c r="A203" s="125">
        <v>2025</v>
      </c>
      <c r="B203" s="126" t="s">
        <v>794</v>
      </c>
      <c r="C203" s="110">
        <v>1</v>
      </c>
      <c r="D203" s="127" t="s">
        <v>587</v>
      </c>
      <c r="E203" s="127"/>
      <c r="F203" s="110">
        <v>1</v>
      </c>
      <c r="G203" s="126" t="s">
        <v>588</v>
      </c>
      <c r="H203" s="110" t="s">
        <v>626</v>
      </c>
      <c r="I203" s="111">
        <v>1</v>
      </c>
      <c r="J203" s="127" t="s">
        <v>589</v>
      </c>
      <c r="K203" s="43"/>
      <c r="L203" s="43"/>
    </row>
    <row r="204" spans="1:12" ht="60.75">
      <c r="A204" s="125">
        <v>2025</v>
      </c>
      <c r="B204" s="126" t="s">
        <v>794</v>
      </c>
      <c r="C204" s="110">
        <v>20</v>
      </c>
      <c r="D204" s="127" t="s">
        <v>707</v>
      </c>
      <c r="E204" s="127"/>
      <c r="F204" s="110">
        <v>1</v>
      </c>
      <c r="G204" s="127" t="s">
        <v>708</v>
      </c>
      <c r="H204" s="110" t="s">
        <v>626</v>
      </c>
      <c r="I204" s="111">
        <v>12</v>
      </c>
      <c r="J204" s="127" t="s">
        <v>795</v>
      </c>
      <c r="K204" s="43"/>
      <c r="L204" s="43"/>
    </row>
    <row r="205" spans="1:12">
      <c r="A205" s="125">
        <v>2025</v>
      </c>
      <c r="B205" s="126" t="s">
        <v>794</v>
      </c>
      <c r="C205" s="110">
        <v>30</v>
      </c>
      <c r="D205" s="127" t="s">
        <v>713</v>
      </c>
      <c r="E205" s="127"/>
      <c r="F205" s="110">
        <v>1</v>
      </c>
      <c r="G205" s="126" t="s">
        <v>588</v>
      </c>
      <c r="H205" s="110" t="s">
        <v>626</v>
      </c>
      <c r="I205" s="111">
        <v>4</v>
      </c>
      <c r="J205" s="127" t="s">
        <v>796</v>
      </c>
      <c r="K205" s="43"/>
      <c r="L205" s="43"/>
    </row>
    <row r="206" spans="1:12">
      <c r="A206" s="125">
        <v>2025</v>
      </c>
      <c r="B206" s="126" t="s">
        <v>794</v>
      </c>
      <c r="C206" s="110">
        <v>2</v>
      </c>
      <c r="D206" s="127" t="s">
        <v>590</v>
      </c>
      <c r="E206" s="127"/>
      <c r="F206" s="110">
        <v>2</v>
      </c>
      <c r="G206" s="126" t="s">
        <v>588</v>
      </c>
      <c r="H206" s="110" t="s">
        <v>632</v>
      </c>
      <c r="I206" s="111">
        <v>3</v>
      </c>
      <c r="J206" s="127" t="s">
        <v>628</v>
      </c>
      <c r="K206" s="43"/>
      <c r="L206" s="43"/>
    </row>
    <row r="207" spans="1:12" ht="60.75">
      <c r="A207" s="125">
        <v>2025</v>
      </c>
      <c r="B207" s="126" t="s">
        <v>794</v>
      </c>
      <c r="C207" s="110">
        <v>20</v>
      </c>
      <c r="D207" s="127" t="s">
        <v>707</v>
      </c>
      <c r="E207" s="127"/>
      <c r="F207" s="110">
        <v>2</v>
      </c>
      <c r="G207" s="127" t="s">
        <v>708</v>
      </c>
      <c r="H207" s="110" t="s">
        <v>632</v>
      </c>
      <c r="I207" s="111">
        <v>8</v>
      </c>
      <c r="J207" s="127" t="s">
        <v>797</v>
      </c>
      <c r="K207" s="43"/>
      <c r="L207" s="43"/>
    </row>
    <row r="208" spans="1:12">
      <c r="A208" s="125">
        <v>2025</v>
      </c>
      <c r="B208" s="126" t="s">
        <v>794</v>
      </c>
      <c r="C208" s="110">
        <v>30</v>
      </c>
      <c r="D208" s="127" t="s">
        <v>713</v>
      </c>
      <c r="E208" s="127"/>
      <c r="F208" s="110">
        <v>2</v>
      </c>
      <c r="G208" s="126" t="s">
        <v>588</v>
      </c>
      <c r="H208" s="110" t="s">
        <v>632</v>
      </c>
      <c r="I208" s="111">
        <v>3</v>
      </c>
      <c r="J208" s="127" t="s">
        <v>798</v>
      </c>
      <c r="K208" s="43"/>
      <c r="L208" s="43"/>
    </row>
    <row r="209" spans="1:12">
      <c r="A209" s="125">
        <v>2025</v>
      </c>
      <c r="B209" s="126" t="s">
        <v>794</v>
      </c>
      <c r="C209" s="110">
        <v>30</v>
      </c>
      <c r="D209" s="127" t="s">
        <v>713</v>
      </c>
      <c r="E209" s="127"/>
      <c r="F209" s="110">
        <v>2</v>
      </c>
      <c r="G209" s="126" t="s">
        <v>620</v>
      </c>
      <c r="H209" s="110" t="s">
        <v>632</v>
      </c>
      <c r="I209" s="111">
        <v>3</v>
      </c>
      <c r="J209" s="127" t="s">
        <v>799</v>
      </c>
      <c r="K209" s="43"/>
      <c r="L209" s="43"/>
    </row>
    <row r="210" spans="1:12">
      <c r="A210" s="125">
        <v>2025</v>
      </c>
      <c r="B210" s="126" t="s">
        <v>794</v>
      </c>
      <c r="C210" s="110">
        <v>2</v>
      </c>
      <c r="D210" s="127" t="s">
        <v>590</v>
      </c>
      <c r="E210" s="127"/>
      <c r="F210" s="110">
        <v>4</v>
      </c>
      <c r="G210" s="126" t="s">
        <v>588</v>
      </c>
      <c r="H210" s="110" t="s">
        <v>640</v>
      </c>
      <c r="I210" s="111">
        <v>3</v>
      </c>
      <c r="J210" s="127" t="s">
        <v>662</v>
      </c>
      <c r="K210" s="43"/>
      <c r="L210" s="43"/>
    </row>
    <row r="211" spans="1:12" ht="91.5">
      <c r="A211" s="125">
        <v>2025</v>
      </c>
      <c r="B211" s="126" t="s">
        <v>794</v>
      </c>
      <c r="C211" s="110">
        <v>8</v>
      </c>
      <c r="D211" s="127" t="s">
        <v>634</v>
      </c>
      <c r="E211" s="127"/>
      <c r="F211" s="110">
        <v>4</v>
      </c>
      <c r="G211" s="127" t="s">
        <v>710</v>
      </c>
      <c r="H211" s="110" t="s">
        <v>640</v>
      </c>
      <c r="I211" s="111">
        <v>3</v>
      </c>
      <c r="J211" s="127" t="s">
        <v>711</v>
      </c>
      <c r="K211" s="43"/>
      <c r="L211" s="43"/>
    </row>
    <row r="212" spans="1:12">
      <c r="A212" s="125">
        <v>2025</v>
      </c>
      <c r="B212" s="126" t="s">
        <v>794</v>
      </c>
      <c r="C212" s="110">
        <v>12</v>
      </c>
      <c r="D212" s="127" t="s">
        <v>602</v>
      </c>
      <c r="E212" s="127"/>
      <c r="F212" s="110">
        <v>4</v>
      </c>
      <c r="G212" s="126" t="s">
        <v>620</v>
      </c>
      <c r="H212" s="110" t="s">
        <v>640</v>
      </c>
      <c r="I212" s="111">
        <v>3</v>
      </c>
      <c r="J212" s="127" t="s">
        <v>800</v>
      </c>
      <c r="K212" s="43"/>
      <c r="L212" s="43"/>
    </row>
    <row r="213" spans="1:12" ht="60.75">
      <c r="A213" s="125">
        <v>2025</v>
      </c>
      <c r="B213" s="126" t="s">
        <v>794</v>
      </c>
      <c r="C213" s="110">
        <v>20</v>
      </c>
      <c r="D213" s="127" t="s">
        <v>707</v>
      </c>
      <c r="E213" s="127"/>
      <c r="F213" s="110">
        <v>4</v>
      </c>
      <c r="G213" s="127" t="s">
        <v>708</v>
      </c>
      <c r="H213" s="110" t="s">
        <v>640</v>
      </c>
      <c r="I213" s="111">
        <v>5</v>
      </c>
      <c r="J213" s="127" t="s">
        <v>801</v>
      </c>
      <c r="K213" s="43"/>
      <c r="L213" s="43"/>
    </row>
    <row r="214" spans="1:12">
      <c r="A214" s="125">
        <v>2025</v>
      </c>
      <c r="B214" s="126" t="s">
        <v>794</v>
      </c>
      <c r="C214" s="110">
        <v>30</v>
      </c>
      <c r="D214" s="127" t="s">
        <v>713</v>
      </c>
      <c r="E214" s="127"/>
      <c r="F214" s="110">
        <v>4</v>
      </c>
      <c r="G214" s="126" t="s">
        <v>588</v>
      </c>
      <c r="H214" s="110" t="s">
        <v>640</v>
      </c>
      <c r="I214" s="111">
        <v>2</v>
      </c>
      <c r="J214" s="127" t="s">
        <v>802</v>
      </c>
      <c r="K214" s="43"/>
      <c r="L214" s="43"/>
    </row>
    <row r="215" spans="1:12" ht="76.5">
      <c r="A215" s="125">
        <v>2025</v>
      </c>
      <c r="B215" s="126" t="s">
        <v>794</v>
      </c>
      <c r="C215" s="110">
        <v>10</v>
      </c>
      <c r="D215" s="127" t="s">
        <v>599</v>
      </c>
      <c r="E215" s="127"/>
      <c r="F215" s="110">
        <v>5</v>
      </c>
      <c r="G215" s="127" t="s">
        <v>710</v>
      </c>
      <c r="H215" s="110" t="s">
        <v>644</v>
      </c>
      <c r="I215" s="111">
        <v>3</v>
      </c>
      <c r="J215" s="127" t="s">
        <v>721</v>
      </c>
      <c r="K215" s="43"/>
      <c r="L215" s="43"/>
    </row>
    <row r="216" spans="1:12" ht="60.75">
      <c r="A216" s="125">
        <v>2025</v>
      </c>
      <c r="B216" s="126" t="s">
        <v>794</v>
      </c>
      <c r="C216" s="110">
        <v>20</v>
      </c>
      <c r="D216" s="127" t="s">
        <v>707</v>
      </c>
      <c r="E216" s="127"/>
      <c r="F216" s="110">
        <v>5</v>
      </c>
      <c r="G216" s="127" t="s">
        <v>708</v>
      </c>
      <c r="H216" s="110" t="s">
        <v>644</v>
      </c>
      <c r="I216" s="111">
        <v>7</v>
      </c>
      <c r="J216" s="127" t="s">
        <v>803</v>
      </c>
      <c r="K216" s="43"/>
      <c r="L216" s="43"/>
    </row>
    <row r="217" spans="1:12">
      <c r="A217" s="125">
        <v>2025</v>
      </c>
      <c r="B217" s="126" t="s">
        <v>794</v>
      </c>
      <c r="C217" s="110">
        <v>30</v>
      </c>
      <c r="D217" s="127" t="s">
        <v>713</v>
      </c>
      <c r="E217" s="127"/>
      <c r="F217" s="110">
        <v>5</v>
      </c>
      <c r="G217" s="126" t="s">
        <v>588</v>
      </c>
      <c r="H217" s="110" t="s">
        <v>644</v>
      </c>
      <c r="I217" s="111">
        <v>3</v>
      </c>
      <c r="J217" s="127" t="s">
        <v>804</v>
      </c>
      <c r="K217" s="43"/>
      <c r="L217" s="43"/>
    </row>
    <row r="218" spans="1:12" ht="76.5">
      <c r="A218" s="125">
        <v>2025</v>
      </c>
      <c r="B218" s="126" t="s">
        <v>794</v>
      </c>
      <c r="C218" s="110">
        <v>50</v>
      </c>
      <c r="D218" s="127" t="s">
        <v>724</v>
      </c>
      <c r="E218" s="127"/>
      <c r="F218" s="110">
        <v>5</v>
      </c>
      <c r="G218" s="126" t="s">
        <v>655</v>
      </c>
      <c r="H218" s="110" t="s">
        <v>644</v>
      </c>
      <c r="I218" s="111">
        <v>2</v>
      </c>
      <c r="J218" s="127" t="s">
        <v>805</v>
      </c>
      <c r="K218" s="43"/>
      <c r="L218" s="43"/>
    </row>
    <row r="219" spans="1:12" ht="106.5">
      <c r="A219" s="132">
        <v>2025</v>
      </c>
      <c r="B219" s="133" t="s">
        <v>806</v>
      </c>
      <c r="C219" s="134">
        <v>0</v>
      </c>
      <c r="D219" s="135" t="s">
        <v>585</v>
      </c>
      <c r="E219" s="135" t="s">
        <v>807</v>
      </c>
      <c r="F219" s="165">
        <v>0</v>
      </c>
      <c r="G219" s="126"/>
      <c r="H219" s="134"/>
      <c r="I219" s="136"/>
      <c r="J219" s="133"/>
      <c r="K219" s="115"/>
      <c r="L219" s="115"/>
    </row>
    <row r="220" spans="1:12">
      <c r="A220" s="125">
        <v>2025</v>
      </c>
      <c r="B220" s="126" t="s">
        <v>806</v>
      </c>
      <c r="C220" s="110">
        <v>1</v>
      </c>
      <c r="D220" s="127" t="s">
        <v>587</v>
      </c>
      <c r="E220" s="127"/>
      <c r="F220" s="110">
        <v>1</v>
      </c>
      <c r="G220" s="126" t="s">
        <v>588</v>
      </c>
      <c r="H220" s="110" t="s">
        <v>626</v>
      </c>
      <c r="I220" s="111">
        <v>1</v>
      </c>
      <c r="J220" s="126" t="s">
        <v>589</v>
      </c>
      <c r="K220" s="43"/>
      <c r="L220" s="43"/>
    </row>
    <row r="221" spans="1:12">
      <c r="A221" s="125">
        <v>2025</v>
      </c>
      <c r="B221" s="126" t="s">
        <v>806</v>
      </c>
      <c r="C221" s="110">
        <v>2</v>
      </c>
      <c r="D221" s="127" t="s">
        <v>590</v>
      </c>
      <c r="E221" s="127"/>
      <c r="F221" s="110">
        <v>1</v>
      </c>
      <c r="G221" s="126" t="s">
        <v>588</v>
      </c>
      <c r="H221" s="110" t="s">
        <v>626</v>
      </c>
      <c r="I221" s="111">
        <v>7</v>
      </c>
      <c r="J221" s="127" t="s">
        <v>808</v>
      </c>
      <c r="K221" s="43"/>
      <c r="L221" s="43"/>
    </row>
    <row r="222" spans="1:12" ht="60.75">
      <c r="A222" s="125">
        <v>2025</v>
      </c>
      <c r="B222" s="126" t="s">
        <v>806</v>
      </c>
      <c r="C222" s="110">
        <v>20</v>
      </c>
      <c r="D222" s="127" t="s">
        <v>707</v>
      </c>
      <c r="E222" s="127"/>
      <c r="F222" s="110">
        <v>1</v>
      </c>
      <c r="G222" s="127" t="s">
        <v>708</v>
      </c>
      <c r="H222" s="110" t="s">
        <v>626</v>
      </c>
      <c r="I222" s="111">
        <v>7</v>
      </c>
      <c r="J222" s="127" t="s">
        <v>809</v>
      </c>
      <c r="K222" s="43"/>
      <c r="L222" s="43"/>
    </row>
    <row r="223" spans="1:12">
      <c r="A223" s="125">
        <v>2025</v>
      </c>
      <c r="B223" s="126" t="s">
        <v>806</v>
      </c>
      <c r="C223" s="110">
        <v>30</v>
      </c>
      <c r="D223" s="127" t="s">
        <v>713</v>
      </c>
      <c r="E223" s="127"/>
      <c r="F223" s="110">
        <v>1</v>
      </c>
      <c r="G223" s="126" t="s">
        <v>588</v>
      </c>
      <c r="H223" s="110" t="s">
        <v>626</v>
      </c>
      <c r="I223" s="111">
        <v>3</v>
      </c>
      <c r="J223" s="127" t="s">
        <v>751</v>
      </c>
      <c r="K223" s="43"/>
      <c r="L223" s="43"/>
    </row>
    <row r="224" spans="1:12">
      <c r="A224" s="125">
        <v>2025</v>
      </c>
      <c r="B224" s="126" t="s">
        <v>806</v>
      </c>
      <c r="C224" s="110">
        <v>2</v>
      </c>
      <c r="D224" s="127" t="s">
        <v>590</v>
      </c>
      <c r="E224" s="127"/>
      <c r="F224" s="110">
        <v>2</v>
      </c>
      <c r="G224" s="126" t="s">
        <v>620</v>
      </c>
      <c r="H224" s="110" t="s">
        <v>632</v>
      </c>
      <c r="I224" s="111">
        <v>3</v>
      </c>
      <c r="J224" s="127" t="s">
        <v>738</v>
      </c>
      <c r="K224" s="43"/>
      <c r="L224" s="43"/>
    </row>
    <row r="225" spans="1:12" ht="60.75">
      <c r="A225" s="125">
        <v>2025</v>
      </c>
      <c r="B225" s="126" t="s">
        <v>806</v>
      </c>
      <c r="C225" s="110">
        <v>20</v>
      </c>
      <c r="D225" s="127" t="s">
        <v>707</v>
      </c>
      <c r="E225" s="127"/>
      <c r="F225" s="110">
        <v>2</v>
      </c>
      <c r="G225" s="127" t="s">
        <v>708</v>
      </c>
      <c r="H225" s="110" t="s">
        <v>632</v>
      </c>
      <c r="I225" s="111">
        <v>11</v>
      </c>
      <c r="J225" s="127" t="s">
        <v>810</v>
      </c>
      <c r="K225" s="43"/>
      <c r="L225" s="43"/>
    </row>
    <row r="226" spans="1:12">
      <c r="A226" s="125">
        <v>2025</v>
      </c>
      <c r="B226" s="126" t="s">
        <v>806</v>
      </c>
      <c r="C226" s="110">
        <v>30</v>
      </c>
      <c r="D226" s="127" t="s">
        <v>713</v>
      </c>
      <c r="E226" s="127"/>
      <c r="F226" s="110">
        <v>2</v>
      </c>
      <c r="G226" s="126" t="s">
        <v>588</v>
      </c>
      <c r="H226" s="110" t="s">
        <v>632</v>
      </c>
      <c r="I226" s="111">
        <v>4</v>
      </c>
      <c r="J226" s="127" t="s">
        <v>811</v>
      </c>
      <c r="K226" s="43"/>
      <c r="L226" s="43"/>
    </row>
    <row r="227" spans="1:12" ht="76.5">
      <c r="A227" s="125">
        <v>2025</v>
      </c>
      <c r="B227" s="126" t="s">
        <v>806</v>
      </c>
      <c r="C227" s="110">
        <v>10</v>
      </c>
      <c r="D227" s="127" t="s">
        <v>599</v>
      </c>
      <c r="E227" s="127"/>
      <c r="F227" s="110">
        <v>4</v>
      </c>
      <c r="G227" s="127" t="s">
        <v>710</v>
      </c>
      <c r="H227" s="110" t="s">
        <v>640</v>
      </c>
      <c r="I227" s="111">
        <v>3</v>
      </c>
      <c r="J227" s="127" t="s">
        <v>721</v>
      </c>
      <c r="K227" s="43"/>
      <c r="L227" s="43"/>
    </row>
    <row r="228" spans="1:12" ht="60.75">
      <c r="A228" s="125">
        <v>2025</v>
      </c>
      <c r="B228" s="126" t="s">
        <v>806</v>
      </c>
      <c r="C228" s="110">
        <v>20</v>
      </c>
      <c r="D228" s="127" t="s">
        <v>707</v>
      </c>
      <c r="E228" s="127"/>
      <c r="F228" s="110">
        <v>4</v>
      </c>
      <c r="G228" s="127" t="s">
        <v>708</v>
      </c>
      <c r="H228" s="110" t="s">
        <v>640</v>
      </c>
      <c r="I228" s="111">
        <v>4</v>
      </c>
      <c r="J228" s="127" t="s">
        <v>812</v>
      </c>
      <c r="K228" s="43"/>
      <c r="L228" s="43"/>
    </row>
    <row r="229" spans="1:12">
      <c r="A229" s="125">
        <v>2025</v>
      </c>
      <c r="B229" s="126" t="s">
        <v>806</v>
      </c>
      <c r="C229" s="110">
        <v>30</v>
      </c>
      <c r="D229" s="127" t="s">
        <v>713</v>
      </c>
      <c r="E229" s="127"/>
      <c r="F229" s="110">
        <v>4</v>
      </c>
      <c r="G229" s="126" t="s">
        <v>588</v>
      </c>
      <c r="H229" s="110" t="s">
        <v>640</v>
      </c>
      <c r="I229" s="111">
        <v>10</v>
      </c>
      <c r="J229" s="127" t="s">
        <v>813</v>
      </c>
      <c r="K229" s="43"/>
      <c r="L229" s="43"/>
    </row>
    <row r="230" spans="1:12" ht="91.5">
      <c r="A230" s="125">
        <v>2025</v>
      </c>
      <c r="B230" s="126" t="s">
        <v>806</v>
      </c>
      <c r="C230" s="110">
        <v>8</v>
      </c>
      <c r="D230" s="127" t="s">
        <v>634</v>
      </c>
      <c r="E230" s="127"/>
      <c r="F230" s="110">
        <v>5</v>
      </c>
      <c r="G230" s="127" t="s">
        <v>710</v>
      </c>
      <c r="H230" s="110" t="s">
        <v>644</v>
      </c>
      <c r="I230" s="111">
        <v>3</v>
      </c>
      <c r="J230" s="127" t="s">
        <v>711</v>
      </c>
      <c r="K230" s="43"/>
      <c r="L230" s="43"/>
    </row>
    <row r="231" spans="1:12" ht="60.75">
      <c r="A231" s="125">
        <v>2025</v>
      </c>
      <c r="B231" s="126" t="s">
        <v>806</v>
      </c>
      <c r="C231" s="110">
        <v>20</v>
      </c>
      <c r="D231" s="127" t="s">
        <v>707</v>
      </c>
      <c r="E231" s="127"/>
      <c r="F231" s="110">
        <v>5</v>
      </c>
      <c r="G231" s="127" t="s">
        <v>708</v>
      </c>
      <c r="H231" s="110" t="s">
        <v>644</v>
      </c>
      <c r="I231" s="111">
        <v>3</v>
      </c>
      <c r="J231" s="127" t="s">
        <v>814</v>
      </c>
      <c r="K231" s="43"/>
      <c r="L231" s="43"/>
    </row>
    <row r="232" spans="1:12">
      <c r="A232" s="125">
        <v>2025</v>
      </c>
      <c r="B232" s="126" t="s">
        <v>806</v>
      </c>
      <c r="C232" s="110">
        <v>30</v>
      </c>
      <c r="D232" s="127" t="s">
        <v>713</v>
      </c>
      <c r="E232" s="127"/>
      <c r="F232" s="110">
        <v>5</v>
      </c>
      <c r="G232" s="126" t="s">
        <v>588</v>
      </c>
      <c r="H232" s="110" t="s">
        <v>644</v>
      </c>
      <c r="I232" s="111">
        <v>6</v>
      </c>
      <c r="J232" s="127" t="s">
        <v>815</v>
      </c>
      <c r="K232" s="43"/>
      <c r="L232" s="43"/>
    </row>
    <row r="233" spans="1:12" ht="76.5">
      <c r="A233" s="125">
        <v>2025</v>
      </c>
      <c r="B233" s="126" t="s">
        <v>806</v>
      </c>
      <c r="C233" s="110">
        <v>50</v>
      </c>
      <c r="D233" s="127" t="s">
        <v>724</v>
      </c>
      <c r="E233" s="127"/>
      <c r="F233" s="110">
        <v>5</v>
      </c>
      <c r="G233" s="126" t="s">
        <v>655</v>
      </c>
      <c r="H233" s="110" t="s">
        <v>644</v>
      </c>
      <c r="I233" s="111">
        <v>2</v>
      </c>
      <c r="J233" s="127" t="s">
        <v>816</v>
      </c>
      <c r="K233" s="43"/>
      <c r="L233" s="43"/>
    </row>
    <row r="234" spans="1:12">
      <c r="A234" s="125">
        <v>2025</v>
      </c>
      <c r="B234" s="126" t="s">
        <v>817</v>
      </c>
      <c r="C234" s="110">
        <v>1</v>
      </c>
      <c r="D234" s="127" t="s">
        <v>587</v>
      </c>
      <c r="E234" s="127"/>
      <c r="F234" s="110">
        <v>1</v>
      </c>
      <c r="G234" s="126" t="s">
        <v>588</v>
      </c>
      <c r="H234" s="110" t="s">
        <v>626</v>
      </c>
      <c r="I234" s="111">
        <v>1</v>
      </c>
      <c r="J234" s="126" t="s">
        <v>589</v>
      </c>
      <c r="K234" s="43"/>
      <c r="L234" s="43"/>
    </row>
    <row r="235" spans="1:12">
      <c r="A235" s="125">
        <v>2025</v>
      </c>
      <c r="B235" s="126" t="s">
        <v>817</v>
      </c>
      <c r="C235" s="110">
        <v>2</v>
      </c>
      <c r="D235" s="127" t="s">
        <v>590</v>
      </c>
      <c r="E235" s="127"/>
      <c r="F235" s="110">
        <v>1</v>
      </c>
      <c r="G235" s="126" t="s">
        <v>588</v>
      </c>
      <c r="H235" s="110" t="s">
        <v>626</v>
      </c>
      <c r="I235" s="111">
        <v>7</v>
      </c>
      <c r="J235" s="127" t="s">
        <v>808</v>
      </c>
      <c r="K235" s="43"/>
      <c r="L235" s="43"/>
    </row>
    <row r="236" spans="1:12" ht="60.75">
      <c r="A236" s="125">
        <v>2025</v>
      </c>
      <c r="B236" s="126" t="s">
        <v>817</v>
      </c>
      <c r="C236" s="110">
        <v>20</v>
      </c>
      <c r="D236" s="127" t="s">
        <v>707</v>
      </c>
      <c r="E236" s="127"/>
      <c r="F236" s="110">
        <v>1</v>
      </c>
      <c r="G236" s="127" t="s">
        <v>708</v>
      </c>
      <c r="H236" s="110" t="s">
        <v>626</v>
      </c>
      <c r="I236" s="111">
        <v>3</v>
      </c>
      <c r="J236" s="127" t="s">
        <v>763</v>
      </c>
      <c r="K236" s="43"/>
      <c r="L236" s="43"/>
    </row>
    <row r="237" spans="1:12" ht="60.75">
      <c r="A237" s="125">
        <v>2025</v>
      </c>
      <c r="B237" s="126" t="s">
        <v>817</v>
      </c>
      <c r="C237" s="110">
        <v>20</v>
      </c>
      <c r="D237" s="127" t="s">
        <v>707</v>
      </c>
      <c r="E237" s="127"/>
      <c r="F237" s="110">
        <v>1</v>
      </c>
      <c r="G237" s="127" t="s">
        <v>747</v>
      </c>
      <c r="H237" s="110" t="s">
        <v>626</v>
      </c>
      <c r="I237" s="111" t="s">
        <v>818</v>
      </c>
      <c r="J237" s="127" t="s">
        <v>819</v>
      </c>
      <c r="K237" s="43"/>
      <c r="L237" s="43"/>
    </row>
    <row r="238" spans="1:12" ht="60.75">
      <c r="A238" s="125">
        <v>2025</v>
      </c>
      <c r="B238" s="126" t="s">
        <v>817</v>
      </c>
      <c r="C238" s="110">
        <v>20</v>
      </c>
      <c r="D238" s="127" t="s">
        <v>707</v>
      </c>
      <c r="E238" s="127"/>
      <c r="F238" s="110">
        <v>2</v>
      </c>
      <c r="G238" s="127" t="s">
        <v>708</v>
      </c>
      <c r="H238" s="110" t="s">
        <v>632</v>
      </c>
      <c r="I238" s="111">
        <v>9</v>
      </c>
      <c r="J238" s="127" t="s">
        <v>820</v>
      </c>
      <c r="K238" s="43"/>
      <c r="L238" s="43"/>
    </row>
    <row r="239" spans="1:12">
      <c r="A239" s="125">
        <v>2025</v>
      </c>
      <c r="B239" s="126" t="s">
        <v>817</v>
      </c>
      <c r="C239" s="110">
        <v>30</v>
      </c>
      <c r="D239" s="127" t="s">
        <v>713</v>
      </c>
      <c r="E239" s="127"/>
      <c r="F239" s="110">
        <v>2</v>
      </c>
      <c r="G239" s="126" t="s">
        <v>588</v>
      </c>
      <c r="H239" s="110" t="s">
        <v>632</v>
      </c>
      <c r="I239" s="111">
        <v>8</v>
      </c>
      <c r="J239" s="127" t="s">
        <v>821</v>
      </c>
      <c r="K239" s="43"/>
      <c r="L239" s="43"/>
    </row>
    <row r="240" spans="1:12">
      <c r="A240" s="125">
        <v>2025</v>
      </c>
      <c r="B240" s="126" t="s">
        <v>817</v>
      </c>
      <c r="C240" s="110">
        <v>2</v>
      </c>
      <c r="D240" s="127" t="s">
        <v>590</v>
      </c>
      <c r="E240" s="127"/>
      <c r="F240" s="110">
        <v>3</v>
      </c>
      <c r="G240" s="126" t="s">
        <v>620</v>
      </c>
      <c r="H240" s="110" t="s">
        <v>754</v>
      </c>
      <c r="I240" s="111">
        <v>3</v>
      </c>
      <c r="J240" s="127" t="s">
        <v>738</v>
      </c>
      <c r="K240" s="43"/>
      <c r="L240" s="43"/>
    </row>
    <row r="241" spans="1:12" ht="91.5">
      <c r="A241" s="125">
        <v>2025</v>
      </c>
      <c r="B241" s="126" t="s">
        <v>817</v>
      </c>
      <c r="C241" s="110">
        <v>8</v>
      </c>
      <c r="D241" s="127" t="s">
        <v>634</v>
      </c>
      <c r="E241" s="127"/>
      <c r="F241" s="110">
        <v>3</v>
      </c>
      <c r="G241" s="127" t="s">
        <v>710</v>
      </c>
      <c r="H241" s="110" t="s">
        <v>754</v>
      </c>
      <c r="I241" s="111">
        <v>3</v>
      </c>
      <c r="J241" s="127" t="s">
        <v>711</v>
      </c>
      <c r="K241" s="43"/>
      <c r="L241" s="43"/>
    </row>
    <row r="242" spans="1:12" ht="76.5">
      <c r="A242" s="125">
        <v>2025</v>
      </c>
      <c r="B242" s="126" t="s">
        <v>817</v>
      </c>
      <c r="C242" s="110">
        <v>10</v>
      </c>
      <c r="D242" s="127" t="s">
        <v>599</v>
      </c>
      <c r="E242" s="127"/>
      <c r="F242" s="110">
        <v>3</v>
      </c>
      <c r="G242" s="127" t="s">
        <v>710</v>
      </c>
      <c r="H242" s="110" t="s">
        <v>754</v>
      </c>
      <c r="I242" s="111">
        <v>3</v>
      </c>
      <c r="J242" s="127" t="s">
        <v>721</v>
      </c>
      <c r="K242" s="43"/>
      <c r="L242" s="43"/>
    </row>
    <row r="243" spans="1:12" ht="60.75">
      <c r="A243" s="125">
        <v>2025</v>
      </c>
      <c r="B243" s="126" t="s">
        <v>817</v>
      </c>
      <c r="C243" s="110">
        <v>20</v>
      </c>
      <c r="D243" s="127" t="s">
        <v>707</v>
      </c>
      <c r="E243" s="127"/>
      <c r="F243" s="110">
        <v>4</v>
      </c>
      <c r="G243" s="127" t="s">
        <v>708</v>
      </c>
      <c r="H243" s="110" t="s">
        <v>640</v>
      </c>
      <c r="I243" s="111">
        <v>10</v>
      </c>
      <c r="J243" s="127" t="s">
        <v>822</v>
      </c>
      <c r="K243" s="43"/>
      <c r="L243" s="43"/>
    </row>
    <row r="244" spans="1:12" ht="60.75">
      <c r="A244" s="125">
        <v>2025</v>
      </c>
      <c r="B244" s="126" t="s">
        <v>817</v>
      </c>
      <c r="C244" s="110">
        <v>20</v>
      </c>
      <c r="D244" s="127" t="s">
        <v>707</v>
      </c>
      <c r="E244" s="127"/>
      <c r="F244" s="110">
        <v>4</v>
      </c>
      <c r="G244" s="127" t="s">
        <v>747</v>
      </c>
      <c r="H244" s="110" t="s">
        <v>640</v>
      </c>
      <c r="I244" s="111">
        <v>4</v>
      </c>
      <c r="J244" s="127" t="s">
        <v>823</v>
      </c>
      <c r="K244" s="43"/>
      <c r="L244" s="43"/>
    </row>
    <row r="245" spans="1:12">
      <c r="A245" s="125">
        <v>2025</v>
      </c>
      <c r="B245" s="126" t="s">
        <v>817</v>
      </c>
      <c r="C245" s="110">
        <v>30</v>
      </c>
      <c r="D245" s="127" t="s">
        <v>713</v>
      </c>
      <c r="E245" s="127"/>
      <c r="F245" s="110">
        <v>4</v>
      </c>
      <c r="G245" s="126" t="s">
        <v>588</v>
      </c>
      <c r="H245" s="110" t="s">
        <v>640</v>
      </c>
      <c r="I245" s="111">
        <v>3</v>
      </c>
      <c r="J245" s="127" t="s">
        <v>824</v>
      </c>
      <c r="K245" s="43"/>
      <c r="L245" s="43"/>
    </row>
    <row r="246" spans="1:12" ht="60.75">
      <c r="A246" s="125">
        <v>2025</v>
      </c>
      <c r="B246" s="126" t="s">
        <v>817</v>
      </c>
      <c r="C246" s="110">
        <v>20</v>
      </c>
      <c r="D246" s="127" t="s">
        <v>707</v>
      </c>
      <c r="E246" s="127"/>
      <c r="F246" s="110">
        <v>5</v>
      </c>
      <c r="G246" s="127" t="s">
        <v>708</v>
      </c>
      <c r="H246" s="110" t="s">
        <v>644</v>
      </c>
      <c r="I246" s="111">
        <v>7</v>
      </c>
      <c r="J246" s="127" t="s">
        <v>825</v>
      </c>
      <c r="K246" s="43"/>
      <c r="L246" s="43"/>
    </row>
    <row r="247" spans="1:12">
      <c r="A247" s="125">
        <v>2025</v>
      </c>
      <c r="B247" s="126" t="s">
        <v>817</v>
      </c>
      <c r="C247" s="110">
        <v>30</v>
      </c>
      <c r="D247" s="127" t="s">
        <v>713</v>
      </c>
      <c r="E247" s="127"/>
      <c r="F247" s="110">
        <v>5</v>
      </c>
      <c r="G247" s="126" t="s">
        <v>588</v>
      </c>
      <c r="H247" s="110" t="s">
        <v>644</v>
      </c>
      <c r="I247" s="111">
        <v>5</v>
      </c>
      <c r="J247" s="127" t="s">
        <v>826</v>
      </c>
      <c r="K247" s="43"/>
      <c r="L247" s="43"/>
    </row>
    <row r="248" spans="1:12" ht="76.5">
      <c r="A248" s="125">
        <v>2025</v>
      </c>
      <c r="B248" s="126" t="s">
        <v>817</v>
      </c>
      <c r="C248" s="110">
        <v>50</v>
      </c>
      <c r="D248" s="127" t="s">
        <v>724</v>
      </c>
      <c r="E248" s="127"/>
      <c r="F248" s="110">
        <v>5</v>
      </c>
      <c r="G248" s="126" t="s">
        <v>655</v>
      </c>
      <c r="H248" s="110" t="s">
        <v>644</v>
      </c>
      <c r="I248" s="111">
        <v>2</v>
      </c>
      <c r="J248" s="127" t="s">
        <v>827</v>
      </c>
      <c r="K248" s="43"/>
      <c r="L248" s="43"/>
    </row>
    <row r="249" spans="1:12">
      <c r="A249" s="166">
        <v>2025</v>
      </c>
      <c r="B249" s="167" t="s">
        <v>828</v>
      </c>
      <c r="C249" s="168">
        <v>0</v>
      </c>
      <c r="D249" s="169" t="s">
        <v>585</v>
      </c>
      <c r="E249" s="169" t="s">
        <v>829</v>
      </c>
      <c r="F249" s="170">
        <v>0</v>
      </c>
      <c r="G249" s="164"/>
      <c r="H249" s="168"/>
      <c r="I249" s="171"/>
      <c r="J249" s="167"/>
      <c r="K249" s="115"/>
      <c r="L249" s="115"/>
    </row>
    <row r="250" spans="1:12" ht="76.5">
      <c r="A250" s="172">
        <v>2025</v>
      </c>
      <c r="B250" s="164" t="s">
        <v>828</v>
      </c>
      <c r="C250" s="173">
        <v>3</v>
      </c>
      <c r="D250" s="174" t="s">
        <v>830</v>
      </c>
      <c r="E250" s="174"/>
      <c r="F250" s="173">
        <v>1</v>
      </c>
      <c r="G250" s="174" t="s">
        <v>831</v>
      </c>
      <c r="H250" s="173" t="s">
        <v>626</v>
      </c>
      <c r="I250" s="175">
        <v>10</v>
      </c>
      <c r="J250" s="174" t="s">
        <v>832</v>
      </c>
      <c r="K250" s="43"/>
      <c r="L250" s="43"/>
    </row>
    <row r="251" spans="1:12" ht="60.75">
      <c r="A251" s="172">
        <v>2025</v>
      </c>
      <c r="B251" s="164" t="s">
        <v>828</v>
      </c>
      <c r="C251" s="173">
        <v>31</v>
      </c>
      <c r="D251" s="174" t="s">
        <v>833</v>
      </c>
      <c r="E251" s="174"/>
      <c r="F251" s="173">
        <v>1</v>
      </c>
      <c r="G251" s="174" t="s">
        <v>834</v>
      </c>
      <c r="H251" s="173" t="s">
        <v>626</v>
      </c>
      <c r="I251" s="175">
        <v>3</v>
      </c>
      <c r="J251" s="174" t="s">
        <v>630</v>
      </c>
      <c r="K251" s="43"/>
      <c r="L251" s="43"/>
    </row>
    <row r="252" spans="1:12" ht="60.75">
      <c r="A252" s="172">
        <v>2025</v>
      </c>
      <c r="B252" s="164" t="s">
        <v>828</v>
      </c>
      <c r="C252" s="173">
        <v>3</v>
      </c>
      <c r="D252" s="174" t="s">
        <v>830</v>
      </c>
      <c r="E252" s="174"/>
      <c r="F252" s="173">
        <v>2</v>
      </c>
      <c r="G252" s="174" t="s">
        <v>834</v>
      </c>
      <c r="H252" s="173" t="s">
        <v>632</v>
      </c>
      <c r="I252" s="175">
        <v>6</v>
      </c>
      <c r="J252" s="174" t="s">
        <v>835</v>
      </c>
      <c r="K252" s="43"/>
      <c r="L252" s="43"/>
    </row>
    <row r="253" spans="1:12" ht="76.5">
      <c r="A253" s="172">
        <v>2025</v>
      </c>
      <c r="B253" s="164" t="s">
        <v>828</v>
      </c>
      <c r="C253" s="173">
        <v>31</v>
      </c>
      <c r="D253" s="174" t="s">
        <v>833</v>
      </c>
      <c r="E253" s="174"/>
      <c r="F253" s="173">
        <v>2</v>
      </c>
      <c r="G253" s="174" t="s">
        <v>831</v>
      </c>
      <c r="H253" s="173" t="s">
        <v>632</v>
      </c>
      <c r="I253" s="175">
        <v>7</v>
      </c>
      <c r="J253" s="174" t="s">
        <v>836</v>
      </c>
      <c r="K253" s="43"/>
      <c r="L253" s="43"/>
    </row>
    <row r="254" spans="1:12" ht="183">
      <c r="A254" s="172">
        <v>2025</v>
      </c>
      <c r="B254" s="164" t="s">
        <v>828</v>
      </c>
      <c r="C254" s="173">
        <v>9</v>
      </c>
      <c r="D254" s="174" t="s">
        <v>837</v>
      </c>
      <c r="E254" s="174"/>
      <c r="F254" s="173">
        <v>3</v>
      </c>
      <c r="G254" s="174" t="s">
        <v>838</v>
      </c>
      <c r="H254" s="173" t="s">
        <v>754</v>
      </c>
      <c r="I254" s="175">
        <v>3</v>
      </c>
      <c r="J254" s="174" t="s">
        <v>711</v>
      </c>
      <c r="K254" s="43"/>
      <c r="L254" s="43"/>
    </row>
    <row r="255" spans="1:12" ht="60.75">
      <c r="A255" s="172">
        <v>2025</v>
      </c>
      <c r="B255" s="164" t="s">
        <v>828</v>
      </c>
      <c r="C255" s="173">
        <v>31</v>
      </c>
      <c r="D255" s="174" t="s">
        <v>833</v>
      </c>
      <c r="E255" s="174"/>
      <c r="F255" s="173">
        <v>3</v>
      </c>
      <c r="G255" s="174" t="s">
        <v>839</v>
      </c>
      <c r="H255" s="173" t="s">
        <v>754</v>
      </c>
      <c r="I255" s="175">
        <v>4</v>
      </c>
      <c r="J255" s="174" t="s">
        <v>840</v>
      </c>
      <c r="K255" s="43"/>
      <c r="L255" s="43"/>
    </row>
    <row r="256" spans="1:12" ht="60.75">
      <c r="A256" s="172">
        <v>2025</v>
      </c>
      <c r="B256" s="164" t="s">
        <v>828</v>
      </c>
      <c r="C256" s="173">
        <v>25</v>
      </c>
      <c r="D256" s="174" t="s">
        <v>841</v>
      </c>
      <c r="E256" s="174"/>
      <c r="F256" s="173">
        <v>4</v>
      </c>
      <c r="G256" s="174" t="s">
        <v>842</v>
      </c>
      <c r="H256" s="173" t="s">
        <v>640</v>
      </c>
      <c r="I256" s="175">
        <v>8</v>
      </c>
      <c r="J256" s="174" t="s">
        <v>843</v>
      </c>
      <c r="K256" s="43"/>
      <c r="L256" s="43"/>
    </row>
    <row r="257" spans="1:12" ht="60.75">
      <c r="A257" s="172">
        <v>2025</v>
      </c>
      <c r="B257" s="164" t="s">
        <v>828</v>
      </c>
      <c r="C257" s="173">
        <v>25</v>
      </c>
      <c r="D257" s="174" t="s">
        <v>841</v>
      </c>
      <c r="E257" s="174"/>
      <c r="F257" s="173">
        <v>5</v>
      </c>
      <c r="G257" s="174" t="s">
        <v>842</v>
      </c>
      <c r="H257" s="173" t="s">
        <v>644</v>
      </c>
      <c r="I257" s="175">
        <v>10</v>
      </c>
      <c r="J257" s="174" t="s">
        <v>844</v>
      </c>
      <c r="K257" s="43"/>
      <c r="L257" s="43"/>
    </row>
    <row r="258" spans="1:12" ht="60.75">
      <c r="A258" s="172">
        <v>2025</v>
      </c>
      <c r="B258" s="164" t="s">
        <v>828</v>
      </c>
      <c r="C258" s="173">
        <v>25</v>
      </c>
      <c r="D258" s="174" t="s">
        <v>841</v>
      </c>
      <c r="E258" s="174"/>
      <c r="F258" s="173">
        <v>6</v>
      </c>
      <c r="G258" s="174" t="s">
        <v>842</v>
      </c>
      <c r="H258" s="173" t="s">
        <v>845</v>
      </c>
      <c r="I258" s="175">
        <v>5</v>
      </c>
      <c r="J258" s="174" t="s">
        <v>846</v>
      </c>
      <c r="K258" s="43"/>
      <c r="L258" s="43"/>
    </row>
    <row r="259" spans="1:12" ht="60.75">
      <c r="A259" s="172">
        <v>2025</v>
      </c>
      <c r="B259" s="164" t="s">
        <v>828</v>
      </c>
      <c r="C259" s="173">
        <v>25</v>
      </c>
      <c r="D259" s="174" t="s">
        <v>841</v>
      </c>
      <c r="E259" s="174"/>
      <c r="F259" s="173">
        <v>7</v>
      </c>
      <c r="G259" s="174" t="s">
        <v>842</v>
      </c>
      <c r="H259" s="173" t="s">
        <v>847</v>
      </c>
      <c r="I259" s="175">
        <v>10</v>
      </c>
      <c r="J259" s="174" t="s">
        <v>848</v>
      </c>
      <c r="K259" s="43"/>
      <c r="L259" s="43"/>
    </row>
    <row r="260" spans="1:12" ht="60.75">
      <c r="A260" s="172">
        <v>2025</v>
      </c>
      <c r="B260" s="164" t="s">
        <v>828</v>
      </c>
      <c r="C260" s="173">
        <v>25</v>
      </c>
      <c r="D260" s="174" t="s">
        <v>841</v>
      </c>
      <c r="E260" s="174"/>
      <c r="F260" s="173">
        <v>8</v>
      </c>
      <c r="G260" s="174" t="s">
        <v>842</v>
      </c>
      <c r="H260" s="173" t="s">
        <v>849</v>
      </c>
      <c r="I260" s="175">
        <v>10</v>
      </c>
      <c r="J260" s="174" t="s">
        <v>850</v>
      </c>
      <c r="K260" s="43"/>
      <c r="L260" s="43"/>
    </row>
    <row r="261" spans="1:12">
      <c r="A261" s="176">
        <v>2025</v>
      </c>
      <c r="B261" s="177" t="s">
        <v>828</v>
      </c>
      <c r="C261" s="178">
        <v>90</v>
      </c>
      <c r="D261" s="179" t="s">
        <v>585</v>
      </c>
      <c r="E261" s="179" t="s">
        <v>851</v>
      </c>
      <c r="F261" s="180">
        <v>0</v>
      </c>
      <c r="G261" s="181"/>
      <c r="H261" s="178"/>
      <c r="I261" s="182"/>
      <c r="J261" s="177"/>
      <c r="K261" s="115"/>
      <c r="L261" s="115"/>
    </row>
    <row r="262" spans="1:12" ht="60.75">
      <c r="A262" s="183">
        <v>2025</v>
      </c>
      <c r="B262" s="181" t="s">
        <v>828</v>
      </c>
      <c r="C262" s="184">
        <v>91</v>
      </c>
      <c r="D262" s="185" t="s">
        <v>852</v>
      </c>
      <c r="E262" s="185"/>
      <c r="F262" s="184">
        <v>1</v>
      </c>
      <c r="G262" s="185" t="s">
        <v>842</v>
      </c>
      <c r="H262" s="184" t="s">
        <v>626</v>
      </c>
      <c r="I262" s="186">
        <v>8</v>
      </c>
      <c r="J262" s="185" t="s">
        <v>843</v>
      </c>
      <c r="K262" s="43"/>
      <c r="L262" s="43"/>
    </row>
    <row r="263" spans="1:12" ht="60.75">
      <c r="A263" s="183">
        <v>2025</v>
      </c>
      <c r="B263" s="181" t="s">
        <v>828</v>
      </c>
      <c r="C263" s="184">
        <v>91</v>
      </c>
      <c r="D263" s="185" t="s">
        <v>852</v>
      </c>
      <c r="E263" s="185"/>
      <c r="F263" s="184">
        <v>2</v>
      </c>
      <c r="G263" s="185" t="s">
        <v>842</v>
      </c>
      <c r="H263" s="184" t="s">
        <v>632</v>
      </c>
      <c r="I263" s="186">
        <v>10</v>
      </c>
      <c r="J263" s="185" t="s">
        <v>844</v>
      </c>
      <c r="K263" s="43"/>
      <c r="L263" s="43"/>
    </row>
    <row r="264" spans="1:12" ht="60.75">
      <c r="A264" s="183">
        <v>2025</v>
      </c>
      <c r="B264" s="181" t="s">
        <v>828</v>
      </c>
      <c r="C264" s="184">
        <v>91</v>
      </c>
      <c r="D264" s="185" t="s">
        <v>852</v>
      </c>
      <c r="E264" s="185"/>
      <c r="F264" s="184">
        <v>3</v>
      </c>
      <c r="G264" s="185" t="s">
        <v>853</v>
      </c>
      <c r="H264" s="184" t="s">
        <v>754</v>
      </c>
      <c r="I264" s="186">
        <v>4</v>
      </c>
      <c r="J264" s="185" t="s">
        <v>840</v>
      </c>
      <c r="K264" s="43"/>
      <c r="L264" s="43"/>
    </row>
    <row r="265" spans="1:12" ht="60.75">
      <c r="A265" s="183">
        <v>2025</v>
      </c>
      <c r="B265" s="181" t="s">
        <v>828</v>
      </c>
      <c r="C265" s="184">
        <v>91</v>
      </c>
      <c r="D265" s="185" t="s">
        <v>852</v>
      </c>
      <c r="E265" s="185"/>
      <c r="F265" s="184">
        <v>3</v>
      </c>
      <c r="G265" s="185" t="s">
        <v>842</v>
      </c>
      <c r="H265" s="184" t="s">
        <v>754</v>
      </c>
      <c r="I265" s="186">
        <v>5</v>
      </c>
      <c r="J265" s="185" t="s">
        <v>846</v>
      </c>
      <c r="K265" s="43"/>
      <c r="L265" s="43"/>
    </row>
    <row r="266" spans="1:12" ht="60.75">
      <c r="A266" s="183">
        <v>2025</v>
      </c>
      <c r="B266" s="181" t="s">
        <v>828</v>
      </c>
      <c r="C266" s="184">
        <v>91</v>
      </c>
      <c r="D266" s="185" t="s">
        <v>852</v>
      </c>
      <c r="E266" s="185"/>
      <c r="F266" s="184">
        <v>4</v>
      </c>
      <c r="G266" s="185" t="s">
        <v>842</v>
      </c>
      <c r="H266" s="184" t="s">
        <v>640</v>
      </c>
      <c r="I266" s="186">
        <v>10</v>
      </c>
      <c r="J266" s="185" t="s">
        <v>848</v>
      </c>
      <c r="K266" s="43"/>
      <c r="L266" s="43"/>
    </row>
    <row r="267" spans="1:12" ht="60.75">
      <c r="A267" s="183">
        <v>2025</v>
      </c>
      <c r="B267" s="181" t="s">
        <v>828</v>
      </c>
      <c r="C267" s="184">
        <v>91</v>
      </c>
      <c r="D267" s="185" t="s">
        <v>852</v>
      </c>
      <c r="E267" s="185"/>
      <c r="F267" s="184">
        <v>5</v>
      </c>
      <c r="G267" s="185" t="s">
        <v>842</v>
      </c>
      <c r="H267" s="184" t="s">
        <v>644</v>
      </c>
      <c r="I267" s="186">
        <v>10</v>
      </c>
      <c r="J267" s="185" t="s">
        <v>850</v>
      </c>
      <c r="K267" s="43"/>
      <c r="L267" s="43"/>
    </row>
    <row r="268" spans="1:12" ht="60.75">
      <c r="A268" s="183">
        <v>2025</v>
      </c>
      <c r="B268" s="181" t="s">
        <v>828</v>
      </c>
      <c r="C268" s="184">
        <v>92</v>
      </c>
      <c r="D268" s="185" t="s">
        <v>854</v>
      </c>
      <c r="E268" s="185"/>
      <c r="F268" s="184">
        <v>5</v>
      </c>
      <c r="G268" s="185" t="s">
        <v>834</v>
      </c>
      <c r="H268" s="184" t="s">
        <v>644</v>
      </c>
      <c r="I268" s="186">
        <v>3</v>
      </c>
      <c r="J268" s="185" t="s">
        <v>855</v>
      </c>
      <c r="K268" s="43"/>
      <c r="L268" s="43"/>
    </row>
    <row r="269" spans="1:12">
      <c r="A269" s="125">
        <v>2025</v>
      </c>
      <c r="B269" s="126" t="s">
        <v>856</v>
      </c>
      <c r="C269" s="110">
        <v>1</v>
      </c>
      <c r="D269" s="127" t="s">
        <v>587</v>
      </c>
      <c r="E269" s="127"/>
      <c r="F269" s="110">
        <v>1</v>
      </c>
      <c r="G269" s="126" t="s">
        <v>588</v>
      </c>
      <c r="H269" s="110" t="s">
        <v>626</v>
      </c>
      <c r="I269" s="111">
        <v>1</v>
      </c>
      <c r="J269" s="127" t="s">
        <v>589</v>
      </c>
      <c r="K269" s="43"/>
      <c r="L269" s="43"/>
    </row>
    <row r="270" spans="1:12" ht="60.75">
      <c r="A270" s="125">
        <v>2025</v>
      </c>
      <c r="B270" s="126" t="s">
        <v>856</v>
      </c>
      <c r="C270" s="110">
        <v>20</v>
      </c>
      <c r="D270" s="127" t="s">
        <v>707</v>
      </c>
      <c r="E270" s="127"/>
      <c r="F270" s="110">
        <v>1</v>
      </c>
      <c r="G270" s="127" t="s">
        <v>857</v>
      </c>
      <c r="H270" s="110" t="s">
        <v>626</v>
      </c>
      <c r="I270" s="111">
        <v>14</v>
      </c>
      <c r="J270" s="127" t="s">
        <v>858</v>
      </c>
      <c r="K270" s="43"/>
      <c r="L270" s="43"/>
    </row>
    <row r="271" spans="1:12">
      <c r="A271" s="125">
        <v>2025</v>
      </c>
      <c r="B271" s="126" t="s">
        <v>856</v>
      </c>
      <c r="C271" s="110">
        <v>2</v>
      </c>
      <c r="D271" s="127" t="s">
        <v>590</v>
      </c>
      <c r="E271" s="127"/>
      <c r="F271" s="110">
        <v>2</v>
      </c>
      <c r="G271" s="126" t="s">
        <v>588</v>
      </c>
      <c r="H271" s="110" t="s">
        <v>632</v>
      </c>
      <c r="I271" s="111">
        <v>3</v>
      </c>
      <c r="J271" s="127" t="s">
        <v>628</v>
      </c>
      <c r="K271" s="43"/>
      <c r="L271" s="43"/>
    </row>
    <row r="272" spans="1:12">
      <c r="A272" s="125">
        <v>2025</v>
      </c>
      <c r="B272" s="126" t="s">
        <v>856</v>
      </c>
      <c r="C272" s="110">
        <v>12</v>
      </c>
      <c r="D272" s="127" t="s">
        <v>602</v>
      </c>
      <c r="E272" s="127"/>
      <c r="F272" s="110">
        <v>2</v>
      </c>
      <c r="G272" s="126" t="s">
        <v>620</v>
      </c>
      <c r="H272" s="110" t="s">
        <v>632</v>
      </c>
      <c r="I272" s="111" t="s">
        <v>604</v>
      </c>
      <c r="J272" s="127" t="s">
        <v>605</v>
      </c>
      <c r="K272" s="43"/>
      <c r="L272" s="43"/>
    </row>
    <row r="273" spans="1:12" ht="60.75">
      <c r="A273" s="125">
        <v>2025</v>
      </c>
      <c r="B273" s="126" t="s">
        <v>856</v>
      </c>
      <c r="C273" s="110">
        <v>20</v>
      </c>
      <c r="D273" s="127" t="s">
        <v>707</v>
      </c>
      <c r="E273" s="127"/>
      <c r="F273" s="110">
        <v>2</v>
      </c>
      <c r="G273" s="127" t="s">
        <v>857</v>
      </c>
      <c r="H273" s="110" t="s">
        <v>632</v>
      </c>
      <c r="I273" s="111">
        <v>10</v>
      </c>
      <c r="J273" s="127" t="s">
        <v>859</v>
      </c>
      <c r="K273" s="43"/>
      <c r="L273" s="43"/>
    </row>
    <row r="274" spans="1:12">
      <c r="A274" s="125">
        <v>2025</v>
      </c>
      <c r="B274" s="126" t="s">
        <v>856</v>
      </c>
      <c r="C274" s="110">
        <v>2</v>
      </c>
      <c r="D274" s="127" t="s">
        <v>590</v>
      </c>
      <c r="E274" s="127"/>
      <c r="F274" s="110">
        <v>3</v>
      </c>
      <c r="G274" s="126" t="s">
        <v>588</v>
      </c>
      <c r="H274" s="110" t="s">
        <v>754</v>
      </c>
      <c r="I274" s="111">
        <v>3</v>
      </c>
      <c r="J274" s="127" t="s">
        <v>630</v>
      </c>
      <c r="K274" s="43"/>
      <c r="L274" s="43"/>
    </row>
    <row r="275" spans="1:12" ht="60.75">
      <c r="A275" s="125">
        <v>2025</v>
      </c>
      <c r="B275" s="126" t="s">
        <v>856</v>
      </c>
      <c r="C275" s="110">
        <v>20</v>
      </c>
      <c r="D275" s="127" t="s">
        <v>707</v>
      </c>
      <c r="E275" s="127"/>
      <c r="F275" s="110">
        <v>3</v>
      </c>
      <c r="G275" s="127" t="s">
        <v>857</v>
      </c>
      <c r="H275" s="110" t="s">
        <v>754</v>
      </c>
      <c r="I275" s="111">
        <v>5</v>
      </c>
      <c r="J275" s="127" t="s">
        <v>860</v>
      </c>
      <c r="K275" s="43"/>
      <c r="L275" s="43"/>
    </row>
    <row r="276" spans="1:12" ht="60.75">
      <c r="A276" s="125">
        <v>2025</v>
      </c>
      <c r="B276" s="126" t="s">
        <v>856</v>
      </c>
      <c r="C276" s="110">
        <v>20</v>
      </c>
      <c r="D276" s="127" t="s">
        <v>707</v>
      </c>
      <c r="E276" s="127"/>
      <c r="F276" s="110">
        <v>4</v>
      </c>
      <c r="G276" s="127" t="s">
        <v>857</v>
      </c>
      <c r="H276" s="110" t="s">
        <v>640</v>
      </c>
      <c r="I276" s="111">
        <v>15</v>
      </c>
      <c r="J276" s="127" t="s">
        <v>861</v>
      </c>
      <c r="K276" s="43"/>
      <c r="L276" s="43"/>
    </row>
    <row r="277" spans="1:12">
      <c r="A277" s="125">
        <v>2025</v>
      </c>
      <c r="B277" s="126" t="s">
        <v>856</v>
      </c>
      <c r="C277" s="110">
        <v>2</v>
      </c>
      <c r="D277" s="127" t="s">
        <v>590</v>
      </c>
      <c r="E277" s="127"/>
      <c r="F277" s="110">
        <v>5</v>
      </c>
      <c r="G277" s="126" t="s">
        <v>588</v>
      </c>
      <c r="H277" s="110" t="s">
        <v>644</v>
      </c>
      <c r="I277" s="111">
        <v>3</v>
      </c>
      <c r="J277" s="127" t="s">
        <v>633</v>
      </c>
      <c r="K277" s="43"/>
      <c r="L277" s="43"/>
    </row>
    <row r="278" spans="1:12">
      <c r="A278" s="125">
        <v>2025</v>
      </c>
      <c r="B278" s="126" t="s">
        <v>856</v>
      </c>
      <c r="C278" s="110">
        <v>8</v>
      </c>
      <c r="D278" s="127" t="s">
        <v>634</v>
      </c>
      <c r="E278" s="127"/>
      <c r="F278" s="110">
        <v>5</v>
      </c>
      <c r="G278" s="126" t="s">
        <v>588</v>
      </c>
      <c r="H278" s="110" t="s">
        <v>644</v>
      </c>
      <c r="I278" s="111">
        <v>3</v>
      </c>
      <c r="J278" s="127" t="s">
        <v>645</v>
      </c>
      <c r="K278" s="43"/>
      <c r="L278" s="43"/>
    </row>
    <row r="279" spans="1:12" ht="60.75">
      <c r="A279" s="125">
        <v>2025</v>
      </c>
      <c r="B279" s="126" t="s">
        <v>856</v>
      </c>
      <c r="C279" s="110">
        <v>20</v>
      </c>
      <c r="D279" s="127" t="s">
        <v>707</v>
      </c>
      <c r="E279" s="127"/>
      <c r="F279" s="110">
        <v>5</v>
      </c>
      <c r="G279" s="127" t="s">
        <v>857</v>
      </c>
      <c r="H279" s="110" t="s">
        <v>644</v>
      </c>
      <c r="I279" s="111">
        <v>6</v>
      </c>
      <c r="J279" s="127" t="s">
        <v>862</v>
      </c>
      <c r="K279" s="43"/>
      <c r="L279" s="43"/>
    </row>
    <row r="280" spans="1:12">
      <c r="A280" s="125">
        <v>2025</v>
      </c>
      <c r="B280" s="126" t="s">
        <v>856</v>
      </c>
      <c r="C280" s="110">
        <v>30</v>
      </c>
      <c r="D280" s="127" t="s">
        <v>713</v>
      </c>
      <c r="E280" s="127"/>
      <c r="F280" s="110">
        <v>5</v>
      </c>
      <c r="G280" s="126" t="s">
        <v>588</v>
      </c>
      <c r="H280" s="110" t="s">
        <v>644</v>
      </c>
      <c r="I280" s="111">
        <v>4</v>
      </c>
      <c r="J280" s="127" t="s">
        <v>840</v>
      </c>
      <c r="K280" s="43"/>
      <c r="L280" s="43"/>
    </row>
    <row r="281" spans="1:12" ht="409.6">
      <c r="A281" s="132">
        <v>2025</v>
      </c>
      <c r="B281" s="133" t="s">
        <v>863</v>
      </c>
      <c r="C281" s="134">
        <v>0</v>
      </c>
      <c r="D281" s="135" t="s">
        <v>585</v>
      </c>
      <c r="E281" s="135" t="s">
        <v>864</v>
      </c>
      <c r="F281" s="165">
        <v>0</v>
      </c>
      <c r="G281" s="126"/>
      <c r="H281" s="110"/>
      <c r="I281" s="111"/>
      <c r="J281" s="127"/>
      <c r="K281" s="43"/>
      <c r="L281" s="43"/>
    </row>
    <row r="282" spans="1:12">
      <c r="A282" s="125">
        <v>2025</v>
      </c>
      <c r="B282" s="126" t="s">
        <v>863</v>
      </c>
      <c r="C282" s="110">
        <v>2</v>
      </c>
      <c r="D282" s="127" t="s">
        <v>590</v>
      </c>
      <c r="E282" s="127"/>
      <c r="F282" s="110">
        <v>1</v>
      </c>
      <c r="G282" s="126" t="s">
        <v>588</v>
      </c>
      <c r="H282" s="110" t="s">
        <v>626</v>
      </c>
      <c r="I282" s="111">
        <v>6</v>
      </c>
      <c r="J282" s="127" t="s">
        <v>865</v>
      </c>
      <c r="K282" s="43"/>
      <c r="L282" s="43"/>
    </row>
    <row r="283" spans="1:12">
      <c r="A283" s="125">
        <v>2025</v>
      </c>
      <c r="B283" s="126" t="s">
        <v>863</v>
      </c>
      <c r="C283" s="110">
        <v>12</v>
      </c>
      <c r="D283" s="127" t="s">
        <v>602</v>
      </c>
      <c r="E283" s="127"/>
      <c r="F283" s="110">
        <v>1</v>
      </c>
      <c r="G283" s="126" t="s">
        <v>620</v>
      </c>
      <c r="H283" s="110" t="s">
        <v>626</v>
      </c>
      <c r="I283" s="111" t="s">
        <v>604</v>
      </c>
      <c r="J283" s="127" t="s">
        <v>605</v>
      </c>
      <c r="K283" s="43"/>
      <c r="L283" s="43"/>
    </row>
    <row r="284" spans="1:12">
      <c r="A284" s="125">
        <v>2025</v>
      </c>
      <c r="B284" s="126" t="s">
        <v>863</v>
      </c>
      <c r="C284" s="110">
        <v>30</v>
      </c>
      <c r="D284" s="127" t="s">
        <v>713</v>
      </c>
      <c r="E284" s="127"/>
      <c r="F284" s="110">
        <v>1</v>
      </c>
      <c r="G284" s="126" t="s">
        <v>588</v>
      </c>
      <c r="H284" s="110" t="s">
        <v>626</v>
      </c>
      <c r="I284" s="111">
        <v>3</v>
      </c>
      <c r="J284" s="127" t="s">
        <v>866</v>
      </c>
      <c r="K284" s="43"/>
      <c r="L284" s="43"/>
    </row>
    <row r="285" spans="1:12">
      <c r="A285" s="125">
        <v>2025</v>
      </c>
      <c r="B285" s="126" t="s">
        <v>863</v>
      </c>
      <c r="C285" s="110">
        <v>2</v>
      </c>
      <c r="D285" s="127" t="s">
        <v>590</v>
      </c>
      <c r="E285" s="127"/>
      <c r="F285" s="110">
        <v>2</v>
      </c>
      <c r="G285" s="126" t="s">
        <v>588</v>
      </c>
      <c r="H285" s="110" t="s">
        <v>632</v>
      </c>
      <c r="I285" s="111">
        <v>3</v>
      </c>
      <c r="J285" s="127" t="s">
        <v>633</v>
      </c>
      <c r="K285" s="43"/>
      <c r="L285" s="43"/>
    </row>
    <row r="286" spans="1:12">
      <c r="A286" s="125">
        <v>2025</v>
      </c>
      <c r="B286" s="126" t="s">
        <v>863</v>
      </c>
      <c r="C286" s="110">
        <v>8</v>
      </c>
      <c r="D286" s="127" t="s">
        <v>634</v>
      </c>
      <c r="E286" s="127"/>
      <c r="F286" s="110">
        <v>2</v>
      </c>
      <c r="G286" s="126" t="s">
        <v>588</v>
      </c>
      <c r="H286" s="110" t="s">
        <v>632</v>
      </c>
      <c r="I286" s="111">
        <v>3</v>
      </c>
      <c r="J286" s="127" t="s">
        <v>645</v>
      </c>
      <c r="K286" s="43"/>
      <c r="L286" s="43"/>
    </row>
    <row r="287" spans="1:12" ht="60.75">
      <c r="A287" s="125">
        <v>2025</v>
      </c>
      <c r="B287" s="126" t="s">
        <v>863</v>
      </c>
      <c r="C287" s="110">
        <v>20</v>
      </c>
      <c r="D287" s="127" t="s">
        <v>707</v>
      </c>
      <c r="E287" s="127"/>
      <c r="F287" s="110">
        <v>2</v>
      </c>
      <c r="G287" s="127" t="s">
        <v>857</v>
      </c>
      <c r="H287" s="110" t="s">
        <v>632</v>
      </c>
      <c r="I287" s="111">
        <v>5</v>
      </c>
      <c r="J287" s="127" t="s">
        <v>867</v>
      </c>
      <c r="K287" s="43"/>
      <c r="L287" s="43"/>
    </row>
    <row r="288" spans="1:12">
      <c r="A288" s="125">
        <v>2025</v>
      </c>
      <c r="B288" s="126" t="s">
        <v>863</v>
      </c>
      <c r="C288" s="110">
        <v>30</v>
      </c>
      <c r="D288" s="127" t="s">
        <v>713</v>
      </c>
      <c r="E288" s="127"/>
      <c r="F288" s="110">
        <v>2</v>
      </c>
      <c r="G288" s="126" t="s">
        <v>588</v>
      </c>
      <c r="H288" s="110" t="s">
        <v>632</v>
      </c>
      <c r="I288" s="111">
        <v>2</v>
      </c>
      <c r="J288" s="127" t="s">
        <v>868</v>
      </c>
      <c r="K288" s="43"/>
      <c r="L288" s="43"/>
    </row>
    <row r="289" spans="1:12">
      <c r="A289" s="125">
        <v>2025</v>
      </c>
      <c r="B289" s="137" t="s">
        <v>869</v>
      </c>
      <c r="C289" s="110">
        <v>2</v>
      </c>
      <c r="D289" s="127" t="s">
        <v>590</v>
      </c>
      <c r="E289" s="127"/>
      <c r="F289" s="110">
        <v>1</v>
      </c>
      <c r="G289" s="126" t="s">
        <v>588</v>
      </c>
      <c r="H289" s="110" t="s">
        <v>626</v>
      </c>
      <c r="I289" s="111">
        <v>3</v>
      </c>
      <c r="J289" s="127" t="s">
        <v>628</v>
      </c>
      <c r="K289" s="43"/>
      <c r="L289" s="43"/>
    </row>
    <row r="290" spans="1:12" ht="60.75">
      <c r="A290" s="125">
        <v>2025</v>
      </c>
      <c r="B290" s="137" t="s">
        <v>869</v>
      </c>
      <c r="C290" s="110">
        <v>20</v>
      </c>
      <c r="D290" s="127" t="s">
        <v>707</v>
      </c>
      <c r="E290" s="127"/>
      <c r="F290" s="110">
        <v>1</v>
      </c>
      <c r="G290" s="127" t="s">
        <v>708</v>
      </c>
      <c r="H290" s="110" t="s">
        <v>626</v>
      </c>
      <c r="I290" s="111">
        <v>9</v>
      </c>
      <c r="J290" s="127" t="s">
        <v>870</v>
      </c>
      <c r="K290" s="43"/>
      <c r="L290" s="43"/>
    </row>
    <row r="291" spans="1:12">
      <c r="A291" s="125">
        <v>2025</v>
      </c>
      <c r="B291" s="137" t="s">
        <v>869</v>
      </c>
      <c r="C291" s="110">
        <v>30</v>
      </c>
      <c r="D291" s="127" t="s">
        <v>713</v>
      </c>
      <c r="E291" s="127"/>
      <c r="F291" s="110">
        <v>1</v>
      </c>
      <c r="G291" s="126" t="s">
        <v>588</v>
      </c>
      <c r="H291" s="110" t="s">
        <v>626</v>
      </c>
      <c r="I291" s="111">
        <v>4</v>
      </c>
      <c r="J291" s="126" t="s">
        <v>871</v>
      </c>
      <c r="K291" s="43"/>
      <c r="L291" s="43"/>
    </row>
    <row r="292" spans="1:12">
      <c r="A292" s="125">
        <v>2025</v>
      </c>
      <c r="B292" s="137" t="s">
        <v>869</v>
      </c>
      <c r="C292" s="110">
        <v>2</v>
      </c>
      <c r="D292" s="127" t="s">
        <v>590</v>
      </c>
      <c r="E292" s="127"/>
      <c r="F292" s="110">
        <v>2</v>
      </c>
      <c r="G292" s="126" t="s">
        <v>588</v>
      </c>
      <c r="H292" s="110" t="s">
        <v>632</v>
      </c>
      <c r="I292" s="111">
        <v>3</v>
      </c>
      <c r="J292" s="127" t="s">
        <v>872</v>
      </c>
      <c r="K292" s="43"/>
      <c r="L292" s="43"/>
    </row>
    <row r="293" spans="1:12" ht="30.75">
      <c r="A293" s="125">
        <v>2025</v>
      </c>
      <c r="B293" s="137" t="s">
        <v>869</v>
      </c>
      <c r="C293" s="110">
        <v>11</v>
      </c>
      <c r="D293" s="127" t="s">
        <v>873</v>
      </c>
      <c r="E293" s="127"/>
      <c r="F293" s="110">
        <v>2</v>
      </c>
      <c r="G293" s="127" t="s">
        <v>874</v>
      </c>
      <c r="H293" s="110" t="s">
        <v>632</v>
      </c>
      <c r="I293" s="111" t="s">
        <v>604</v>
      </c>
      <c r="J293" s="127" t="s">
        <v>875</v>
      </c>
      <c r="K293" s="43"/>
      <c r="L293" s="43"/>
    </row>
    <row r="294" spans="1:12" ht="60.75">
      <c r="A294" s="125">
        <v>2025</v>
      </c>
      <c r="B294" s="137" t="s">
        <v>869</v>
      </c>
      <c r="C294" s="110">
        <v>20</v>
      </c>
      <c r="D294" s="127" t="s">
        <v>707</v>
      </c>
      <c r="E294" s="127"/>
      <c r="F294" s="110">
        <v>2</v>
      </c>
      <c r="G294" s="127" t="s">
        <v>708</v>
      </c>
      <c r="H294" s="110" t="s">
        <v>632</v>
      </c>
      <c r="I294" s="111">
        <v>9</v>
      </c>
      <c r="J294" s="127" t="s">
        <v>876</v>
      </c>
      <c r="K294" s="43"/>
      <c r="L294" s="43"/>
    </row>
    <row r="295" spans="1:12">
      <c r="A295" s="125">
        <v>2025</v>
      </c>
      <c r="B295" s="137" t="s">
        <v>869</v>
      </c>
      <c r="C295" s="110">
        <v>5</v>
      </c>
      <c r="D295" s="127" t="s">
        <v>660</v>
      </c>
      <c r="E295" s="127"/>
      <c r="F295" s="110">
        <v>4</v>
      </c>
      <c r="G295" s="126" t="s">
        <v>877</v>
      </c>
      <c r="H295" s="110" t="s">
        <v>640</v>
      </c>
      <c r="I295" s="111">
        <v>3</v>
      </c>
      <c r="J295" s="126" t="s">
        <v>878</v>
      </c>
      <c r="K295" s="43"/>
      <c r="L295" s="43"/>
    </row>
    <row r="296" spans="1:12" ht="60.75">
      <c r="A296" s="125">
        <v>2025</v>
      </c>
      <c r="B296" s="137" t="s">
        <v>869</v>
      </c>
      <c r="C296" s="110">
        <v>8</v>
      </c>
      <c r="D296" s="127" t="s">
        <v>634</v>
      </c>
      <c r="E296" s="127"/>
      <c r="F296" s="110">
        <v>4</v>
      </c>
      <c r="G296" s="127" t="s">
        <v>879</v>
      </c>
      <c r="H296" s="110" t="s">
        <v>640</v>
      </c>
      <c r="I296" s="111">
        <v>3</v>
      </c>
      <c r="J296" s="127" t="s">
        <v>880</v>
      </c>
      <c r="K296" s="43"/>
      <c r="L296" s="43"/>
    </row>
    <row r="297" spans="1:12" ht="60.75">
      <c r="A297" s="125">
        <v>2025</v>
      </c>
      <c r="B297" s="137" t="s">
        <v>869</v>
      </c>
      <c r="C297" s="110">
        <v>20</v>
      </c>
      <c r="D297" s="127" t="s">
        <v>707</v>
      </c>
      <c r="E297" s="127"/>
      <c r="F297" s="110">
        <v>4</v>
      </c>
      <c r="G297" s="127" t="s">
        <v>708</v>
      </c>
      <c r="H297" s="110" t="s">
        <v>640</v>
      </c>
      <c r="I297" s="111">
        <v>6</v>
      </c>
      <c r="J297" s="127" t="s">
        <v>881</v>
      </c>
      <c r="K297" s="43"/>
      <c r="L297" s="43"/>
    </row>
    <row r="298" spans="1:12">
      <c r="A298" s="125">
        <v>2025</v>
      </c>
      <c r="B298" s="137" t="s">
        <v>869</v>
      </c>
      <c r="C298" s="110">
        <v>30</v>
      </c>
      <c r="D298" s="127" t="s">
        <v>713</v>
      </c>
      <c r="E298" s="127"/>
      <c r="F298" s="110">
        <v>4</v>
      </c>
      <c r="G298" s="126" t="s">
        <v>588</v>
      </c>
      <c r="H298" s="110" t="s">
        <v>640</v>
      </c>
      <c r="I298" s="111">
        <v>3</v>
      </c>
      <c r="J298" s="126" t="s">
        <v>882</v>
      </c>
      <c r="K298" s="43"/>
      <c r="L298" s="43"/>
    </row>
    <row r="299" spans="1:12" ht="60.75">
      <c r="A299" s="125">
        <v>2025</v>
      </c>
      <c r="B299" s="137" t="s">
        <v>869</v>
      </c>
      <c r="C299" s="110">
        <v>61</v>
      </c>
      <c r="D299" s="127" t="s">
        <v>715</v>
      </c>
      <c r="E299" s="127"/>
      <c r="F299" s="110">
        <v>4</v>
      </c>
      <c r="G299" s="126" t="s">
        <v>620</v>
      </c>
      <c r="H299" s="110" t="s">
        <v>640</v>
      </c>
      <c r="I299" s="111" t="s">
        <v>759</v>
      </c>
      <c r="J299" s="127" t="s">
        <v>883</v>
      </c>
      <c r="K299" s="43"/>
      <c r="L299" s="43"/>
    </row>
    <row r="300" spans="1:12" ht="60.75">
      <c r="A300" s="125">
        <v>2025</v>
      </c>
      <c r="B300" s="137" t="s">
        <v>869</v>
      </c>
      <c r="C300" s="110">
        <v>20</v>
      </c>
      <c r="D300" s="127" t="s">
        <v>707</v>
      </c>
      <c r="E300" s="127"/>
      <c r="F300" s="110">
        <v>5</v>
      </c>
      <c r="G300" s="127" t="s">
        <v>708</v>
      </c>
      <c r="H300" s="110" t="s">
        <v>644</v>
      </c>
      <c r="I300" s="111">
        <v>12</v>
      </c>
      <c r="J300" s="127" t="s">
        <v>884</v>
      </c>
      <c r="K300" s="43"/>
      <c r="L300" s="43"/>
    </row>
    <row r="301" spans="1:12">
      <c r="A301" s="125">
        <v>2025</v>
      </c>
      <c r="B301" s="137" t="s">
        <v>869</v>
      </c>
      <c r="C301" s="110">
        <v>30</v>
      </c>
      <c r="D301" s="127" t="s">
        <v>713</v>
      </c>
      <c r="E301" s="127"/>
      <c r="F301" s="110">
        <v>5</v>
      </c>
      <c r="G301" s="126" t="s">
        <v>588</v>
      </c>
      <c r="H301" s="110" t="s">
        <v>644</v>
      </c>
      <c r="I301" s="111">
        <v>2</v>
      </c>
      <c r="J301" s="126" t="s">
        <v>885</v>
      </c>
      <c r="K301" s="43"/>
      <c r="L301" s="43"/>
    </row>
    <row r="302" spans="1:12" ht="60.75">
      <c r="A302" s="125">
        <v>2025</v>
      </c>
      <c r="B302" s="137" t="s">
        <v>869</v>
      </c>
      <c r="C302" s="110">
        <v>62</v>
      </c>
      <c r="D302" s="127" t="s">
        <v>719</v>
      </c>
      <c r="E302" s="127"/>
      <c r="F302" s="110">
        <v>5</v>
      </c>
      <c r="G302" s="127" t="s">
        <v>720</v>
      </c>
      <c r="H302" s="110" t="s">
        <v>644</v>
      </c>
      <c r="I302" s="111" t="s">
        <v>759</v>
      </c>
      <c r="J302" s="127" t="s">
        <v>883</v>
      </c>
      <c r="K302" s="43"/>
      <c r="L302" s="43"/>
    </row>
    <row r="303" spans="1:12">
      <c r="A303" s="125">
        <v>2025</v>
      </c>
      <c r="B303" s="137" t="s">
        <v>886</v>
      </c>
      <c r="C303" s="110">
        <v>2</v>
      </c>
      <c r="D303" s="127" t="s">
        <v>590</v>
      </c>
      <c r="E303" s="127"/>
      <c r="F303" s="110">
        <v>1</v>
      </c>
      <c r="G303" s="126" t="s">
        <v>588</v>
      </c>
      <c r="H303" s="110" t="s">
        <v>626</v>
      </c>
      <c r="I303" s="111">
        <v>3</v>
      </c>
      <c r="J303" s="127" t="s">
        <v>628</v>
      </c>
      <c r="K303" s="43"/>
      <c r="L303" s="43"/>
    </row>
    <row r="304" spans="1:12" ht="60.75">
      <c r="A304" s="125">
        <v>2025</v>
      </c>
      <c r="B304" s="137" t="s">
        <v>886</v>
      </c>
      <c r="C304" s="110">
        <v>20</v>
      </c>
      <c r="D304" s="127" t="s">
        <v>707</v>
      </c>
      <c r="E304" s="127"/>
      <c r="F304" s="110">
        <v>1</v>
      </c>
      <c r="G304" s="127" t="s">
        <v>708</v>
      </c>
      <c r="H304" s="110" t="s">
        <v>626</v>
      </c>
      <c r="I304" s="111">
        <v>9</v>
      </c>
      <c r="J304" s="127" t="s">
        <v>887</v>
      </c>
      <c r="K304" s="43"/>
      <c r="L304" s="43"/>
    </row>
    <row r="305" spans="1:12">
      <c r="A305" s="125">
        <v>2025</v>
      </c>
      <c r="B305" s="137" t="s">
        <v>886</v>
      </c>
      <c r="C305" s="110">
        <v>30</v>
      </c>
      <c r="D305" s="127" t="s">
        <v>713</v>
      </c>
      <c r="E305" s="127"/>
      <c r="F305" s="110">
        <v>1</v>
      </c>
      <c r="G305" s="126" t="s">
        <v>588</v>
      </c>
      <c r="H305" s="110" t="s">
        <v>626</v>
      </c>
      <c r="I305" s="111">
        <v>4</v>
      </c>
      <c r="J305" s="126" t="s">
        <v>871</v>
      </c>
      <c r="K305" s="43"/>
      <c r="L305" s="43"/>
    </row>
    <row r="306" spans="1:12">
      <c r="A306" s="125">
        <v>2025</v>
      </c>
      <c r="B306" s="137" t="s">
        <v>886</v>
      </c>
      <c r="C306" s="110">
        <v>2</v>
      </c>
      <c r="D306" s="127" t="s">
        <v>590</v>
      </c>
      <c r="E306" s="127"/>
      <c r="F306" s="110">
        <v>2</v>
      </c>
      <c r="G306" s="126" t="s">
        <v>588</v>
      </c>
      <c r="H306" s="110" t="s">
        <v>632</v>
      </c>
      <c r="I306" s="111">
        <v>3</v>
      </c>
      <c r="J306" s="127" t="s">
        <v>872</v>
      </c>
      <c r="K306" s="43"/>
      <c r="L306" s="43"/>
    </row>
    <row r="307" spans="1:12" ht="30.75">
      <c r="A307" s="125">
        <v>2025</v>
      </c>
      <c r="B307" s="137" t="s">
        <v>886</v>
      </c>
      <c r="C307" s="110">
        <v>11</v>
      </c>
      <c r="D307" s="127" t="s">
        <v>873</v>
      </c>
      <c r="E307" s="127"/>
      <c r="F307" s="110">
        <v>2</v>
      </c>
      <c r="G307" s="127" t="s">
        <v>874</v>
      </c>
      <c r="H307" s="110" t="s">
        <v>632</v>
      </c>
      <c r="I307" s="111" t="s">
        <v>604</v>
      </c>
      <c r="J307" s="127" t="s">
        <v>875</v>
      </c>
      <c r="K307" s="43"/>
      <c r="L307" s="43"/>
    </row>
    <row r="308" spans="1:12" ht="60.75">
      <c r="A308" s="125">
        <v>2025</v>
      </c>
      <c r="B308" s="137" t="s">
        <v>886</v>
      </c>
      <c r="C308" s="110">
        <v>20</v>
      </c>
      <c r="D308" s="127" t="s">
        <v>707</v>
      </c>
      <c r="E308" s="127"/>
      <c r="F308" s="110">
        <v>2</v>
      </c>
      <c r="G308" s="127" t="s">
        <v>708</v>
      </c>
      <c r="H308" s="110" t="s">
        <v>632</v>
      </c>
      <c r="I308" s="111">
        <v>9</v>
      </c>
      <c r="J308" s="127" t="s">
        <v>888</v>
      </c>
      <c r="K308" s="43"/>
      <c r="L308" s="43"/>
    </row>
    <row r="309" spans="1:12">
      <c r="A309" s="125">
        <v>2025</v>
      </c>
      <c r="B309" s="137" t="s">
        <v>886</v>
      </c>
      <c r="C309" s="110">
        <v>5</v>
      </c>
      <c r="D309" s="127" t="s">
        <v>660</v>
      </c>
      <c r="E309" s="127"/>
      <c r="F309" s="110">
        <v>4</v>
      </c>
      <c r="G309" s="126" t="s">
        <v>877</v>
      </c>
      <c r="H309" s="110" t="s">
        <v>640</v>
      </c>
      <c r="I309" s="111">
        <v>3</v>
      </c>
      <c r="J309" s="126" t="s">
        <v>878</v>
      </c>
      <c r="K309" s="43"/>
      <c r="L309" s="43"/>
    </row>
    <row r="310" spans="1:12" ht="60.75">
      <c r="A310" s="125">
        <v>2025</v>
      </c>
      <c r="B310" s="137" t="s">
        <v>886</v>
      </c>
      <c r="C310" s="110">
        <v>8</v>
      </c>
      <c r="D310" s="127" t="s">
        <v>634</v>
      </c>
      <c r="E310" s="127"/>
      <c r="F310" s="110">
        <v>4</v>
      </c>
      <c r="G310" s="127" t="s">
        <v>879</v>
      </c>
      <c r="H310" s="110" t="s">
        <v>640</v>
      </c>
      <c r="I310" s="111">
        <v>3</v>
      </c>
      <c r="J310" s="127" t="s">
        <v>880</v>
      </c>
      <c r="K310" s="43"/>
      <c r="L310" s="43"/>
    </row>
    <row r="311" spans="1:12" ht="60.75">
      <c r="A311" s="125">
        <v>2025</v>
      </c>
      <c r="B311" s="137" t="s">
        <v>886</v>
      </c>
      <c r="C311" s="110">
        <v>20</v>
      </c>
      <c r="D311" s="127" t="s">
        <v>707</v>
      </c>
      <c r="E311" s="127"/>
      <c r="F311" s="110">
        <v>4</v>
      </c>
      <c r="G311" s="127" t="s">
        <v>708</v>
      </c>
      <c r="H311" s="110" t="s">
        <v>640</v>
      </c>
      <c r="I311" s="111">
        <v>6</v>
      </c>
      <c r="J311" s="127" t="s">
        <v>889</v>
      </c>
      <c r="K311" s="43"/>
      <c r="L311" s="43"/>
    </row>
    <row r="312" spans="1:12">
      <c r="A312" s="125">
        <v>2025</v>
      </c>
      <c r="B312" s="137" t="s">
        <v>886</v>
      </c>
      <c r="C312" s="110">
        <v>30</v>
      </c>
      <c r="D312" s="127" t="s">
        <v>713</v>
      </c>
      <c r="E312" s="127"/>
      <c r="F312" s="110">
        <v>4</v>
      </c>
      <c r="G312" s="126" t="s">
        <v>588</v>
      </c>
      <c r="H312" s="110" t="s">
        <v>640</v>
      </c>
      <c r="I312" s="111">
        <v>3</v>
      </c>
      <c r="J312" s="126" t="s">
        <v>882</v>
      </c>
      <c r="K312" s="43"/>
      <c r="L312" s="43"/>
    </row>
    <row r="313" spans="1:12" ht="76.5">
      <c r="A313" s="125">
        <v>2025</v>
      </c>
      <c r="B313" s="137" t="s">
        <v>886</v>
      </c>
      <c r="C313" s="110">
        <v>61</v>
      </c>
      <c r="D313" s="127" t="s">
        <v>715</v>
      </c>
      <c r="E313" s="127"/>
      <c r="F313" s="110">
        <v>4</v>
      </c>
      <c r="G313" s="126" t="s">
        <v>620</v>
      </c>
      <c r="H313" s="110" t="s">
        <v>640</v>
      </c>
      <c r="I313" s="111" t="s">
        <v>759</v>
      </c>
      <c r="J313" s="127" t="s">
        <v>890</v>
      </c>
      <c r="K313" s="43"/>
      <c r="L313" s="43"/>
    </row>
    <row r="314" spans="1:12" ht="60.75">
      <c r="A314" s="125">
        <v>2025</v>
      </c>
      <c r="B314" s="137" t="s">
        <v>886</v>
      </c>
      <c r="C314" s="110">
        <v>20</v>
      </c>
      <c r="D314" s="127" t="s">
        <v>707</v>
      </c>
      <c r="E314" s="127"/>
      <c r="F314" s="110">
        <v>5</v>
      </c>
      <c r="G314" s="127" t="s">
        <v>708</v>
      </c>
      <c r="H314" s="110" t="s">
        <v>644</v>
      </c>
      <c r="I314" s="111">
        <v>9</v>
      </c>
      <c r="J314" s="127" t="s">
        <v>891</v>
      </c>
      <c r="K314" s="43"/>
      <c r="L314" s="43"/>
    </row>
    <row r="315" spans="1:12">
      <c r="A315" s="125">
        <v>2025</v>
      </c>
      <c r="B315" s="137" t="s">
        <v>886</v>
      </c>
      <c r="C315" s="110">
        <v>30</v>
      </c>
      <c r="D315" s="127" t="s">
        <v>713</v>
      </c>
      <c r="E315" s="127"/>
      <c r="F315" s="110">
        <v>5</v>
      </c>
      <c r="G315" s="126" t="s">
        <v>588</v>
      </c>
      <c r="H315" s="110" t="s">
        <v>644</v>
      </c>
      <c r="I315" s="111">
        <v>2</v>
      </c>
      <c r="J315" s="126" t="s">
        <v>885</v>
      </c>
      <c r="K315" s="43"/>
      <c r="L315" s="43"/>
    </row>
    <row r="316" spans="1:12" ht="76.5">
      <c r="A316" s="125">
        <v>2025</v>
      </c>
      <c r="B316" s="137" t="s">
        <v>886</v>
      </c>
      <c r="C316" s="110">
        <v>62</v>
      </c>
      <c r="D316" s="127" t="s">
        <v>719</v>
      </c>
      <c r="E316" s="127"/>
      <c r="F316" s="110">
        <v>5</v>
      </c>
      <c r="G316" s="127" t="s">
        <v>720</v>
      </c>
      <c r="H316" s="110" t="s">
        <v>644</v>
      </c>
      <c r="I316" s="111" t="s">
        <v>759</v>
      </c>
      <c r="J316" s="127" t="s">
        <v>890</v>
      </c>
      <c r="K316" s="43"/>
      <c r="L316" s="43"/>
    </row>
    <row r="317" spans="1:12" ht="76.5">
      <c r="A317" s="125">
        <v>2025</v>
      </c>
      <c r="B317" s="137" t="s">
        <v>886</v>
      </c>
      <c r="C317" s="110">
        <v>63</v>
      </c>
      <c r="D317" s="127" t="s">
        <v>892</v>
      </c>
      <c r="E317" s="127"/>
      <c r="F317" s="110">
        <v>5</v>
      </c>
      <c r="G317" s="127" t="s">
        <v>720</v>
      </c>
      <c r="H317" s="110" t="s">
        <v>644</v>
      </c>
      <c r="I317" s="111" t="s">
        <v>759</v>
      </c>
      <c r="J317" s="127" t="s">
        <v>890</v>
      </c>
      <c r="K317" s="115"/>
      <c r="L317" s="115"/>
    </row>
    <row r="318" spans="1:12">
      <c r="A318" s="125">
        <v>2025</v>
      </c>
      <c r="B318" s="137" t="s">
        <v>893</v>
      </c>
      <c r="C318" s="110">
        <v>2</v>
      </c>
      <c r="D318" s="127" t="s">
        <v>590</v>
      </c>
      <c r="E318" s="127"/>
      <c r="F318" s="110">
        <v>1</v>
      </c>
      <c r="G318" s="126" t="s">
        <v>588</v>
      </c>
      <c r="H318" s="110" t="s">
        <v>626</v>
      </c>
      <c r="I318" s="111">
        <v>3</v>
      </c>
      <c r="J318" s="127" t="s">
        <v>628</v>
      </c>
      <c r="K318" s="43"/>
      <c r="L318" s="43"/>
    </row>
    <row r="319" spans="1:12" ht="60.75">
      <c r="A319" s="125">
        <v>2025</v>
      </c>
      <c r="B319" s="137" t="s">
        <v>893</v>
      </c>
      <c r="C319" s="110">
        <v>20</v>
      </c>
      <c r="D319" s="127" t="s">
        <v>707</v>
      </c>
      <c r="E319" s="127"/>
      <c r="F319" s="110">
        <v>1</v>
      </c>
      <c r="G319" s="127" t="s">
        <v>708</v>
      </c>
      <c r="H319" s="110" t="s">
        <v>626</v>
      </c>
      <c r="I319" s="111">
        <v>6</v>
      </c>
      <c r="J319" s="127" t="s">
        <v>894</v>
      </c>
      <c r="K319" s="43"/>
      <c r="L319" s="43"/>
    </row>
    <row r="320" spans="1:12" ht="60.75">
      <c r="A320" s="125">
        <v>2025</v>
      </c>
      <c r="B320" s="137" t="s">
        <v>893</v>
      </c>
      <c r="C320" s="110">
        <v>21</v>
      </c>
      <c r="D320" s="127" t="s">
        <v>895</v>
      </c>
      <c r="E320" s="127"/>
      <c r="F320" s="110">
        <v>1</v>
      </c>
      <c r="G320" s="127" t="s">
        <v>747</v>
      </c>
      <c r="H320" s="110" t="s">
        <v>626</v>
      </c>
      <c r="I320" s="111">
        <v>3</v>
      </c>
      <c r="J320" s="127" t="s">
        <v>896</v>
      </c>
      <c r="K320" s="43"/>
      <c r="L320" s="43"/>
    </row>
    <row r="321" spans="1:12">
      <c r="A321" s="125">
        <v>2025</v>
      </c>
      <c r="B321" s="137" t="s">
        <v>893</v>
      </c>
      <c r="C321" s="110">
        <v>30</v>
      </c>
      <c r="D321" s="127" t="s">
        <v>713</v>
      </c>
      <c r="E321" s="127"/>
      <c r="F321" s="110">
        <v>1</v>
      </c>
      <c r="G321" s="126" t="s">
        <v>588</v>
      </c>
      <c r="H321" s="110" t="s">
        <v>626</v>
      </c>
      <c r="I321" s="111">
        <v>4</v>
      </c>
      <c r="J321" s="126" t="s">
        <v>871</v>
      </c>
      <c r="K321" s="43"/>
      <c r="L321" s="43"/>
    </row>
    <row r="322" spans="1:12">
      <c r="A322" s="125">
        <v>2025</v>
      </c>
      <c r="B322" s="137" t="s">
        <v>893</v>
      </c>
      <c r="C322" s="110">
        <v>2</v>
      </c>
      <c r="D322" s="127" t="s">
        <v>590</v>
      </c>
      <c r="E322" s="127"/>
      <c r="F322" s="110">
        <v>2</v>
      </c>
      <c r="G322" s="126" t="s">
        <v>588</v>
      </c>
      <c r="H322" s="110" t="s">
        <v>632</v>
      </c>
      <c r="I322" s="111">
        <v>3</v>
      </c>
      <c r="J322" s="127" t="s">
        <v>872</v>
      </c>
      <c r="K322" s="43"/>
      <c r="L322" s="43"/>
    </row>
    <row r="323" spans="1:12" ht="30.75">
      <c r="A323" s="125">
        <v>2025</v>
      </c>
      <c r="B323" s="137" t="s">
        <v>893</v>
      </c>
      <c r="C323" s="110">
        <v>11</v>
      </c>
      <c r="D323" s="127" t="s">
        <v>873</v>
      </c>
      <c r="E323" s="127"/>
      <c r="F323" s="110">
        <v>2</v>
      </c>
      <c r="G323" s="127" t="s">
        <v>874</v>
      </c>
      <c r="H323" s="110" t="s">
        <v>632</v>
      </c>
      <c r="I323" s="111" t="s">
        <v>604</v>
      </c>
      <c r="J323" s="127" t="s">
        <v>875</v>
      </c>
      <c r="K323" s="43"/>
      <c r="L323" s="43"/>
    </row>
    <row r="324" spans="1:12" ht="60.75">
      <c r="A324" s="125">
        <v>2025</v>
      </c>
      <c r="B324" s="137" t="s">
        <v>893</v>
      </c>
      <c r="C324" s="110">
        <v>20</v>
      </c>
      <c r="D324" s="127" t="s">
        <v>707</v>
      </c>
      <c r="E324" s="127"/>
      <c r="F324" s="110">
        <v>2</v>
      </c>
      <c r="G324" s="127" t="s">
        <v>708</v>
      </c>
      <c r="H324" s="110" t="s">
        <v>632</v>
      </c>
      <c r="I324" s="111">
        <v>6</v>
      </c>
      <c r="J324" s="127" t="s">
        <v>897</v>
      </c>
      <c r="K324" s="43"/>
      <c r="L324" s="43"/>
    </row>
    <row r="325" spans="1:12" ht="60.75">
      <c r="A325" s="125">
        <v>2025</v>
      </c>
      <c r="B325" s="137" t="s">
        <v>893</v>
      </c>
      <c r="C325" s="110">
        <v>22</v>
      </c>
      <c r="D325" s="127" t="s">
        <v>898</v>
      </c>
      <c r="E325" s="127"/>
      <c r="F325" s="110">
        <v>2</v>
      </c>
      <c r="G325" s="127" t="s">
        <v>747</v>
      </c>
      <c r="H325" s="110" t="s">
        <v>632</v>
      </c>
      <c r="I325" s="111">
        <v>3</v>
      </c>
      <c r="J325" s="127" t="s">
        <v>896</v>
      </c>
      <c r="K325" s="43"/>
      <c r="L325" s="43"/>
    </row>
    <row r="326" spans="1:12">
      <c r="A326" s="125">
        <v>2025</v>
      </c>
      <c r="B326" s="137" t="s">
        <v>893</v>
      </c>
      <c r="C326" s="110">
        <v>5</v>
      </c>
      <c r="D326" s="127" t="s">
        <v>660</v>
      </c>
      <c r="E326" s="127"/>
      <c r="F326" s="110">
        <v>4</v>
      </c>
      <c r="G326" s="126" t="s">
        <v>877</v>
      </c>
      <c r="H326" s="110" t="s">
        <v>640</v>
      </c>
      <c r="I326" s="111">
        <v>3</v>
      </c>
      <c r="J326" s="126" t="s">
        <v>878</v>
      </c>
      <c r="K326" s="43"/>
      <c r="L326" s="43"/>
    </row>
    <row r="327" spans="1:12" ht="60.75">
      <c r="A327" s="125">
        <v>2025</v>
      </c>
      <c r="B327" s="137" t="s">
        <v>893</v>
      </c>
      <c r="C327" s="110">
        <v>8</v>
      </c>
      <c r="D327" s="127" t="s">
        <v>634</v>
      </c>
      <c r="E327" s="127"/>
      <c r="F327" s="110">
        <v>4</v>
      </c>
      <c r="G327" s="127" t="s">
        <v>879</v>
      </c>
      <c r="H327" s="110" t="s">
        <v>640</v>
      </c>
      <c r="I327" s="111">
        <v>3</v>
      </c>
      <c r="J327" s="127" t="s">
        <v>880</v>
      </c>
      <c r="K327" s="43"/>
      <c r="L327" s="43"/>
    </row>
    <row r="328" spans="1:12" ht="60.75">
      <c r="A328" s="125">
        <v>2025</v>
      </c>
      <c r="B328" s="137" t="s">
        <v>893</v>
      </c>
      <c r="C328" s="110">
        <v>20</v>
      </c>
      <c r="D328" s="127" t="s">
        <v>707</v>
      </c>
      <c r="E328" s="127"/>
      <c r="F328" s="110">
        <v>4</v>
      </c>
      <c r="G328" s="127" t="s">
        <v>708</v>
      </c>
      <c r="H328" s="110" t="s">
        <v>640</v>
      </c>
      <c r="I328" s="111">
        <v>3</v>
      </c>
      <c r="J328" s="127" t="s">
        <v>899</v>
      </c>
      <c r="K328" s="43"/>
      <c r="L328" s="43"/>
    </row>
    <row r="329" spans="1:12" ht="60.75">
      <c r="A329" s="125">
        <v>2025</v>
      </c>
      <c r="B329" s="137" t="s">
        <v>893</v>
      </c>
      <c r="C329" s="110">
        <v>23</v>
      </c>
      <c r="D329" s="127" t="s">
        <v>900</v>
      </c>
      <c r="E329" s="127"/>
      <c r="F329" s="110">
        <v>4</v>
      </c>
      <c r="G329" s="127" t="s">
        <v>747</v>
      </c>
      <c r="H329" s="110" t="s">
        <v>640</v>
      </c>
      <c r="I329" s="111">
        <v>3</v>
      </c>
      <c r="J329" s="127" t="s">
        <v>896</v>
      </c>
      <c r="K329" s="43"/>
      <c r="L329" s="43"/>
    </row>
    <row r="330" spans="1:12">
      <c r="A330" s="125">
        <v>2025</v>
      </c>
      <c r="B330" s="137" t="s">
        <v>893</v>
      </c>
      <c r="C330" s="110">
        <v>30</v>
      </c>
      <c r="D330" s="127" t="s">
        <v>713</v>
      </c>
      <c r="E330" s="127"/>
      <c r="F330" s="110">
        <v>4</v>
      </c>
      <c r="G330" s="126" t="s">
        <v>588</v>
      </c>
      <c r="H330" s="110" t="s">
        <v>640</v>
      </c>
      <c r="I330" s="111">
        <v>3</v>
      </c>
      <c r="J330" s="126" t="s">
        <v>882</v>
      </c>
      <c r="K330" s="43"/>
      <c r="L330" s="43"/>
    </row>
    <row r="331" spans="1:12" ht="76.5">
      <c r="A331" s="125">
        <v>2025</v>
      </c>
      <c r="B331" s="137" t="s">
        <v>893</v>
      </c>
      <c r="C331" s="110">
        <v>61</v>
      </c>
      <c r="D331" s="127" t="s">
        <v>715</v>
      </c>
      <c r="E331" s="127"/>
      <c r="F331" s="110">
        <v>4</v>
      </c>
      <c r="G331" s="126" t="s">
        <v>620</v>
      </c>
      <c r="H331" s="110" t="s">
        <v>640</v>
      </c>
      <c r="I331" s="111" t="s">
        <v>759</v>
      </c>
      <c r="J331" s="127" t="s">
        <v>890</v>
      </c>
      <c r="K331" s="43"/>
      <c r="L331" s="43"/>
    </row>
    <row r="332" spans="1:12" ht="60.75">
      <c r="A332" s="125">
        <v>2025</v>
      </c>
      <c r="B332" s="137" t="s">
        <v>893</v>
      </c>
      <c r="C332" s="110">
        <v>20</v>
      </c>
      <c r="D332" s="127" t="s">
        <v>707</v>
      </c>
      <c r="E332" s="127"/>
      <c r="F332" s="110">
        <v>5</v>
      </c>
      <c r="G332" s="127" t="s">
        <v>708</v>
      </c>
      <c r="H332" s="110" t="s">
        <v>644</v>
      </c>
      <c r="I332" s="111">
        <v>6</v>
      </c>
      <c r="J332" s="127" t="s">
        <v>901</v>
      </c>
      <c r="K332" s="43"/>
      <c r="L332" s="43"/>
    </row>
    <row r="333" spans="1:12" ht="60.75">
      <c r="A333" s="125">
        <v>2025</v>
      </c>
      <c r="B333" s="137" t="s">
        <v>893</v>
      </c>
      <c r="C333" s="110">
        <v>24</v>
      </c>
      <c r="D333" s="127" t="s">
        <v>902</v>
      </c>
      <c r="E333" s="127"/>
      <c r="F333" s="110">
        <v>5</v>
      </c>
      <c r="G333" s="127" t="s">
        <v>747</v>
      </c>
      <c r="H333" s="110" t="s">
        <v>644</v>
      </c>
      <c r="I333" s="111">
        <v>3</v>
      </c>
      <c r="J333" s="127" t="s">
        <v>896</v>
      </c>
      <c r="K333" s="43"/>
      <c r="L333" s="43"/>
    </row>
    <row r="334" spans="1:12">
      <c r="A334" s="125">
        <v>2025</v>
      </c>
      <c r="B334" s="137" t="s">
        <v>893</v>
      </c>
      <c r="C334" s="110">
        <v>30</v>
      </c>
      <c r="D334" s="127" t="s">
        <v>713</v>
      </c>
      <c r="E334" s="127"/>
      <c r="F334" s="110">
        <v>5</v>
      </c>
      <c r="G334" s="126" t="s">
        <v>588</v>
      </c>
      <c r="H334" s="110" t="s">
        <v>644</v>
      </c>
      <c r="I334" s="111">
        <v>2</v>
      </c>
      <c r="J334" s="126" t="s">
        <v>885</v>
      </c>
      <c r="K334" s="43"/>
      <c r="L334" s="43"/>
    </row>
    <row r="335" spans="1:12" ht="76.5">
      <c r="A335" s="125">
        <v>2025</v>
      </c>
      <c r="B335" s="137" t="s">
        <v>893</v>
      </c>
      <c r="C335" s="110">
        <v>62</v>
      </c>
      <c r="D335" s="127" t="s">
        <v>719</v>
      </c>
      <c r="E335" s="127"/>
      <c r="F335" s="110">
        <v>5</v>
      </c>
      <c r="G335" s="126" t="s">
        <v>671</v>
      </c>
      <c r="H335" s="110" t="s">
        <v>644</v>
      </c>
      <c r="I335" s="111" t="s">
        <v>759</v>
      </c>
      <c r="J335" s="127" t="s">
        <v>890</v>
      </c>
      <c r="K335" s="43"/>
      <c r="L335" s="43"/>
    </row>
    <row r="336" spans="1:12" ht="76.5">
      <c r="A336" s="125">
        <v>2025</v>
      </c>
      <c r="B336" s="137" t="s">
        <v>893</v>
      </c>
      <c r="C336" s="110">
        <v>63</v>
      </c>
      <c r="D336" s="127" t="s">
        <v>892</v>
      </c>
      <c r="E336" s="127"/>
      <c r="F336" s="110">
        <v>5</v>
      </c>
      <c r="G336" s="126" t="s">
        <v>671</v>
      </c>
      <c r="H336" s="110" t="s">
        <v>644</v>
      </c>
      <c r="I336" s="111" t="s">
        <v>759</v>
      </c>
      <c r="J336" s="127" t="s">
        <v>890</v>
      </c>
      <c r="K336" s="115"/>
      <c r="L336" s="115"/>
    </row>
    <row r="337" spans="1:12">
      <c r="A337" s="125">
        <v>2025</v>
      </c>
      <c r="B337" s="137" t="s">
        <v>903</v>
      </c>
      <c r="C337" s="110">
        <v>2</v>
      </c>
      <c r="D337" s="127" t="s">
        <v>590</v>
      </c>
      <c r="E337" s="127"/>
      <c r="F337" s="110">
        <v>1</v>
      </c>
      <c r="G337" s="126" t="s">
        <v>588</v>
      </c>
      <c r="H337" s="110" t="s">
        <v>626</v>
      </c>
      <c r="I337" s="111">
        <v>3</v>
      </c>
      <c r="J337" s="127" t="s">
        <v>628</v>
      </c>
      <c r="K337" s="43"/>
      <c r="L337" s="43"/>
    </row>
    <row r="338" spans="1:12" ht="60.75">
      <c r="A338" s="125">
        <v>2025</v>
      </c>
      <c r="B338" s="137" t="s">
        <v>903</v>
      </c>
      <c r="C338" s="110">
        <v>20</v>
      </c>
      <c r="D338" s="127" t="s">
        <v>707</v>
      </c>
      <c r="E338" s="127"/>
      <c r="F338" s="110">
        <v>1</v>
      </c>
      <c r="G338" s="127" t="s">
        <v>708</v>
      </c>
      <c r="H338" s="110" t="s">
        <v>626</v>
      </c>
      <c r="I338" s="111">
        <v>9</v>
      </c>
      <c r="J338" s="127" t="s">
        <v>904</v>
      </c>
      <c r="K338" s="43"/>
      <c r="L338" s="43"/>
    </row>
    <row r="339" spans="1:12">
      <c r="A339" s="125">
        <v>2025</v>
      </c>
      <c r="B339" s="137" t="s">
        <v>903</v>
      </c>
      <c r="C339" s="110">
        <v>30</v>
      </c>
      <c r="D339" s="127" t="s">
        <v>713</v>
      </c>
      <c r="E339" s="127"/>
      <c r="F339" s="110">
        <v>1</v>
      </c>
      <c r="G339" s="126" t="s">
        <v>588</v>
      </c>
      <c r="H339" s="110" t="s">
        <v>626</v>
      </c>
      <c r="I339" s="111">
        <v>4</v>
      </c>
      <c r="J339" s="126" t="s">
        <v>871</v>
      </c>
      <c r="K339" s="43"/>
      <c r="L339" s="43"/>
    </row>
    <row r="340" spans="1:12">
      <c r="A340" s="125">
        <v>2025</v>
      </c>
      <c r="B340" s="137" t="s">
        <v>903</v>
      </c>
      <c r="C340" s="110">
        <v>2</v>
      </c>
      <c r="D340" s="127" t="s">
        <v>590</v>
      </c>
      <c r="E340" s="127"/>
      <c r="F340" s="110">
        <v>2</v>
      </c>
      <c r="G340" s="126" t="s">
        <v>588</v>
      </c>
      <c r="H340" s="110" t="s">
        <v>632</v>
      </c>
      <c r="I340" s="111">
        <v>3</v>
      </c>
      <c r="J340" s="127" t="s">
        <v>872</v>
      </c>
      <c r="K340" s="43"/>
      <c r="L340" s="43"/>
    </row>
    <row r="341" spans="1:12" ht="30.75">
      <c r="A341" s="125">
        <v>2025</v>
      </c>
      <c r="B341" s="137" t="s">
        <v>903</v>
      </c>
      <c r="C341" s="110">
        <v>11</v>
      </c>
      <c r="D341" s="127" t="s">
        <v>873</v>
      </c>
      <c r="E341" s="127"/>
      <c r="F341" s="110">
        <v>2</v>
      </c>
      <c r="G341" s="127" t="s">
        <v>874</v>
      </c>
      <c r="H341" s="110" t="s">
        <v>632</v>
      </c>
      <c r="I341" s="111" t="s">
        <v>604</v>
      </c>
      <c r="J341" s="127" t="s">
        <v>875</v>
      </c>
      <c r="K341" s="43"/>
      <c r="L341" s="43"/>
    </row>
    <row r="342" spans="1:12" ht="60.75">
      <c r="A342" s="125">
        <v>2025</v>
      </c>
      <c r="B342" s="137" t="s">
        <v>903</v>
      </c>
      <c r="C342" s="110">
        <v>20</v>
      </c>
      <c r="D342" s="127" t="s">
        <v>707</v>
      </c>
      <c r="E342" s="127"/>
      <c r="F342" s="110">
        <v>2</v>
      </c>
      <c r="G342" s="127" t="s">
        <v>708</v>
      </c>
      <c r="H342" s="110" t="s">
        <v>632</v>
      </c>
      <c r="I342" s="111">
        <v>9</v>
      </c>
      <c r="J342" s="127" t="s">
        <v>905</v>
      </c>
      <c r="K342" s="43"/>
      <c r="L342" s="43"/>
    </row>
    <row r="343" spans="1:12">
      <c r="A343" s="125">
        <v>2025</v>
      </c>
      <c r="B343" s="137" t="s">
        <v>903</v>
      </c>
      <c r="C343" s="110">
        <v>5</v>
      </c>
      <c r="D343" s="127" t="s">
        <v>660</v>
      </c>
      <c r="E343" s="127"/>
      <c r="F343" s="110">
        <v>4</v>
      </c>
      <c r="G343" s="126" t="s">
        <v>877</v>
      </c>
      <c r="H343" s="110" t="s">
        <v>640</v>
      </c>
      <c r="I343" s="111">
        <v>3</v>
      </c>
      <c r="J343" s="126" t="s">
        <v>878</v>
      </c>
      <c r="K343" s="43"/>
      <c r="L343" s="43"/>
    </row>
    <row r="344" spans="1:12" ht="60.75">
      <c r="A344" s="125">
        <v>2025</v>
      </c>
      <c r="B344" s="137" t="s">
        <v>903</v>
      </c>
      <c r="C344" s="110">
        <v>8</v>
      </c>
      <c r="D344" s="127" t="s">
        <v>634</v>
      </c>
      <c r="E344" s="127"/>
      <c r="F344" s="110">
        <v>4</v>
      </c>
      <c r="G344" s="127" t="s">
        <v>879</v>
      </c>
      <c r="H344" s="110" t="s">
        <v>640</v>
      </c>
      <c r="I344" s="111">
        <v>3</v>
      </c>
      <c r="J344" s="127" t="s">
        <v>880</v>
      </c>
      <c r="K344" s="43"/>
      <c r="L344" s="43"/>
    </row>
    <row r="345" spans="1:12" ht="60.75">
      <c r="A345" s="125">
        <v>2025</v>
      </c>
      <c r="B345" s="137" t="s">
        <v>903</v>
      </c>
      <c r="C345" s="110">
        <v>20</v>
      </c>
      <c r="D345" s="127" t="s">
        <v>707</v>
      </c>
      <c r="E345" s="127"/>
      <c r="F345" s="110">
        <v>4</v>
      </c>
      <c r="G345" s="127" t="s">
        <v>708</v>
      </c>
      <c r="H345" s="110" t="s">
        <v>640</v>
      </c>
      <c r="I345" s="111">
        <v>6</v>
      </c>
      <c r="J345" s="127" t="s">
        <v>906</v>
      </c>
      <c r="K345" s="43"/>
      <c r="L345" s="43"/>
    </row>
    <row r="346" spans="1:12">
      <c r="A346" s="125">
        <v>2025</v>
      </c>
      <c r="B346" s="137" t="s">
        <v>903</v>
      </c>
      <c r="C346" s="110">
        <v>30</v>
      </c>
      <c r="D346" s="127" t="s">
        <v>713</v>
      </c>
      <c r="E346" s="127"/>
      <c r="F346" s="110">
        <v>4</v>
      </c>
      <c r="G346" s="126" t="s">
        <v>588</v>
      </c>
      <c r="H346" s="110" t="s">
        <v>640</v>
      </c>
      <c r="I346" s="111">
        <v>3</v>
      </c>
      <c r="J346" s="126" t="s">
        <v>882</v>
      </c>
      <c r="K346" s="43"/>
      <c r="L346" s="43"/>
    </row>
    <row r="347" spans="1:12" ht="60.75">
      <c r="A347" s="125">
        <v>2025</v>
      </c>
      <c r="B347" s="137" t="s">
        <v>903</v>
      </c>
      <c r="C347" s="110">
        <v>61</v>
      </c>
      <c r="D347" s="127" t="s">
        <v>715</v>
      </c>
      <c r="E347" s="127"/>
      <c r="F347" s="110">
        <v>4</v>
      </c>
      <c r="G347" s="126" t="s">
        <v>620</v>
      </c>
      <c r="H347" s="110" t="s">
        <v>640</v>
      </c>
      <c r="I347" s="111" t="s">
        <v>759</v>
      </c>
      <c r="J347" s="127" t="s">
        <v>907</v>
      </c>
      <c r="K347" s="43"/>
      <c r="L347" s="43"/>
    </row>
    <row r="348" spans="1:12" ht="60.75">
      <c r="A348" s="125">
        <v>2025</v>
      </c>
      <c r="B348" s="137" t="s">
        <v>903</v>
      </c>
      <c r="C348" s="110">
        <v>20</v>
      </c>
      <c r="D348" s="127" t="s">
        <v>707</v>
      </c>
      <c r="E348" s="127"/>
      <c r="F348" s="110">
        <v>5</v>
      </c>
      <c r="G348" s="127" t="s">
        <v>708</v>
      </c>
      <c r="H348" s="110" t="s">
        <v>644</v>
      </c>
      <c r="I348" s="111">
        <v>9</v>
      </c>
      <c r="J348" s="127" t="s">
        <v>908</v>
      </c>
      <c r="K348" s="43"/>
      <c r="L348" s="43"/>
    </row>
    <row r="349" spans="1:12">
      <c r="A349" s="125">
        <v>2025</v>
      </c>
      <c r="B349" s="137" t="s">
        <v>903</v>
      </c>
      <c r="C349" s="110">
        <v>30</v>
      </c>
      <c r="D349" s="127" t="s">
        <v>713</v>
      </c>
      <c r="E349" s="127"/>
      <c r="F349" s="110">
        <v>5</v>
      </c>
      <c r="G349" s="126" t="s">
        <v>588</v>
      </c>
      <c r="H349" s="110" t="s">
        <v>644</v>
      </c>
      <c r="I349" s="111">
        <v>2</v>
      </c>
      <c r="J349" s="126" t="s">
        <v>885</v>
      </c>
      <c r="K349" s="43"/>
      <c r="L349" s="43"/>
    </row>
    <row r="350" spans="1:12" ht="60.75">
      <c r="A350" s="125">
        <v>2025</v>
      </c>
      <c r="B350" s="137" t="s">
        <v>903</v>
      </c>
      <c r="C350" s="110">
        <v>62</v>
      </c>
      <c r="D350" s="127" t="s">
        <v>719</v>
      </c>
      <c r="E350" s="127"/>
      <c r="F350" s="110">
        <v>5</v>
      </c>
      <c r="G350" s="127" t="s">
        <v>720</v>
      </c>
      <c r="H350" s="110" t="s">
        <v>644</v>
      </c>
      <c r="I350" s="111" t="s">
        <v>759</v>
      </c>
      <c r="J350" s="127" t="s">
        <v>907</v>
      </c>
      <c r="K350" s="43"/>
      <c r="L350" s="43"/>
    </row>
    <row r="351" spans="1:12" ht="60.75">
      <c r="A351" s="125">
        <v>2025</v>
      </c>
      <c r="B351" s="137" t="s">
        <v>903</v>
      </c>
      <c r="C351" s="110">
        <v>63</v>
      </c>
      <c r="D351" s="127" t="s">
        <v>892</v>
      </c>
      <c r="E351" s="127"/>
      <c r="F351" s="110">
        <v>5</v>
      </c>
      <c r="G351" s="127" t="s">
        <v>720</v>
      </c>
      <c r="H351" s="110" t="s">
        <v>644</v>
      </c>
      <c r="I351" s="111" t="s">
        <v>759</v>
      </c>
      <c r="J351" s="127" t="s">
        <v>907</v>
      </c>
      <c r="K351" s="115"/>
      <c r="L351" s="115"/>
    </row>
    <row r="352" spans="1:12">
      <c r="A352" s="125">
        <v>2025</v>
      </c>
      <c r="B352" s="137" t="s">
        <v>909</v>
      </c>
      <c r="C352" s="110">
        <v>2</v>
      </c>
      <c r="D352" s="127" t="s">
        <v>590</v>
      </c>
      <c r="E352" s="127"/>
      <c r="F352" s="110">
        <v>1</v>
      </c>
      <c r="G352" s="126" t="s">
        <v>588</v>
      </c>
      <c r="H352" s="110" t="s">
        <v>626</v>
      </c>
      <c r="I352" s="111">
        <v>3</v>
      </c>
      <c r="J352" s="127" t="s">
        <v>628</v>
      </c>
      <c r="K352" s="43"/>
      <c r="L352" s="43"/>
    </row>
    <row r="353" spans="1:12" ht="60.75">
      <c r="A353" s="125">
        <v>2025</v>
      </c>
      <c r="B353" s="137" t="s">
        <v>909</v>
      </c>
      <c r="C353" s="110">
        <v>20</v>
      </c>
      <c r="D353" s="127" t="s">
        <v>707</v>
      </c>
      <c r="E353" s="127"/>
      <c r="F353" s="110">
        <v>1</v>
      </c>
      <c r="G353" s="127" t="s">
        <v>708</v>
      </c>
      <c r="H353" s="110" t="s">
        <v>626</v>
      </c>
      <c r="I353" s="111">
        <v>9</v>
      </c>
      <c r="J353" s="127" t="s">
        <v>910</v>
      </c>
      <c r="K353" s="43"/>
      <c r="L353" s="43"/>
    </row>
    <row r="354" spans="1:12">
      <c r="A354" s="125">
        <v>2025</v>
      </c>
      <c r="B354" s="137" t="s">
        <v>909</v>
      </c>
      <c r="C354" s="110">
        <v>30</v>
      </c>
      <c r="D354" s="127" t="s">
        <v>713</v>
      </c>
      <c r="E354" s="127"/>
      <c r="F354" s="110">
        <v>1</v>
      </c>
      <c r="G354" s="126" t="s">
        <v>588</v>
      </c>
      <c r="H354" s="110" t="s">
        <v>626</v>
      </c>
      <c r="I354" s="111">
        <v>4</v>
      </c>
      <c r="J354" s="126" t="s">
        <v>871</v>
      </c>
      <c r="K354" s="43"/>
      <c r="L354" s="43"/>
    </row>
    <row r="355" spans="1:12">
      <c r="A355" s="125">
        <v>2025</v>
      </c>
      <c r="B355" s="137" t="s">
        <v>909</v>
      </c>
      <c r="C355" s="110">
        <v>2</v>
      </c>
      <c r="D355" s="127" t="s">
        <v>590</v>
      </c>
      <c r="E355" s="127"/>
      <c r="F355" s="110">
        <v>2</v>
      </c>
      <c r="G355" s="126" t="s">
        <v>588</v>
      </c>
      <c r="H355" s="110" t="s">
        <v>632</v>
      </c>
      <c r="I355" s="111">
        <v>3</v>
      </c>
      <c r="J355" s="127" t="s">
        <v>872</v>
      </c>
      <c r="K355" s="43"/>
      <c r="L355" s="43"/>
    </row>
    <row r="356" spans="1:12" ht="30.75">
      <c r="A356" s="125">
        <v>2025</v>
      </c>
      <c r="B356" s="137" t="s">
        <v>909</v>
      </c>
      <c r="C356" s="110">
        <v>11</v>
      </c>
      <c r="D356" s="127" t="s">
        <v>873</v>
      </c>
      <c r="E356" s="127"/>
      <c r="F356" s="110">
        <v>2</v>
      </c>
      <c r="G356" s="127" t="s">
        <v>874</v>
      </c>
      <c r="H356" s="110" t="s">
        <v>632</v>
      </c>
      <c r="I356" s="111" t="s">
        <v>604</v>
      </c>
      <c r="J356" s="127" t="s">
        <v>875</v>
      </c>
      <c r="K356" s="43"/>
      <c r="L356" s="43"/>
    </row>
    <row r="357" spans="1:12" ht="60.75">
      <c r="A357" s="125">
        <v>2025</v>
      </c>
      <c r="B357" s="137" t="s">
        <v>909</v>
      </c>
      <c r="C357" s="110">
        <v>20</v>
      </c>
      <c r="D357" s="127" t="s">
        <v>707</v>
      </c>
      <c r="E357" s="127"/>
      <c r="F357" s="110">
        <v>2</v>
      </c>
      <c r="G357" s="127" t="s">
        <v>708</v>
      </c>
      <c r="H357" s="110" t="s">
        <v>632</v>
      </c>
      <c r="I357" s="111">
        <v>9</v>
      </c>
      <c r="J357" s="127" t="s">
        <v>911</v>
      </c>
      <c r="K357" s="43"/>
      <c r="L357" s="43"/>
    </row>
    <row r="358" spans="1:12">
      <c r="A358" s="125">
        <v>2025</v>
      </c>
      <c r="B358" s="137" t="s">
        <v>909</v>
      </c>
      <c r="C358" s="110">
        <v>5</v>
      </c>
      <c r="D358" s="127" t="s">
        <v>660</v>
      </c>
      <c r="E358" s="127"/>
      <c r="F358" s="110">
        <v>4</v>
      </c>
      <c r="G358" s="126" t="s">
        <v>877</v>
      </c>
      <c r="H358" s="110" t="s">
        <v>640</v>
      </c>
      <c r="I358" s="111">
        <v>3</v>
      </c>
      <c r="J358" s="126" t="s">
        <v>878</v>
      </c>
      <c r="K358" s="43"/>
      <c r="L358" s="43"/>
    </row>
    <row r="359" spans="1:12" ht="60.75">
      <c r="A359" s="125">
        <v>2025</v>
      </c>
      <c r="B359" s="137" t="s">
        <v>909</v>
      </c>
      <c r="C359" s="110">
        <v>8</v>
      </c>
      <c r="D359" s="127" t="s">
        <v>634</v>
      </c>
      <c r="E359" s="127"/>
      <c r="F359" s="110">
        <v>4</v>
      </c>
      <c r="G359" s="127" t="s">
        <v>879</v>
      </c>
      <c r="H359" s="110" t="s">
        <v>640</v>
      </c>
      <c r="I359" s="111">
        <v>3</v>
      </c>
      <c r="J359" s="127" t="s">
        <v>880</v>
      </c>
      <c r="K359" s="43"/>
      <c r="L359" s="43"/>
    </row>
    <row r="360" spans="1:12" ht="60.75">
      <c r="A360" s="125">
        <v>2025</v>
      </c>
      <c r="B360" s="137" t="s">
        <v>909</v>
      </c>
      <c r="C360" s="110">
        <v>20</v>
      </c>
      <c r="D360" s="127" t="s">
        <v>707</v>
      </c>
      <c r="E360" s="127"/>
      <c r="F360" s="110">
        <v>4</v>
      </c>
      <c r="G360" s="127" t="s">
        <v>708</v>
      </c>
      <c r="H360" s="110" t="s">
        <v>640</v>
      </c>
      <c r="I360" s="111">
        <v>6</v>
      </c>
      <c r="J360" s="127" t="s">
        <v>912</v>
      </c>
      <c r="K360" s="43"/>
      <c r="L360" s="43"/>
    </row>
    <row r="361" spans="1:12">
      <c r="A361" s="125">
        <v>2025</v>
      </c>
      <c r="B361" s="137" t="s">
        <v>909</v>
      </c>
      <c r="C361" s="110">
        <v>30</v>
      </c>
      <c r="D361" s="127" t="s">
        <v>713</v>
      </c>
      <c r="E361" s="127"/>
      <c r="F361" s="110">
        <v>4</v>
      </c>
      <c r="G361" s="126" t="s">
        <v>588</v>
      </c>
      <c r="H361" s="110" t="s">
        <v>640</v>
      </c>
      <c r="I361" s="111">
        <v>3</v>
      </c>
      <c r="J361" s="126" t="s">
        <v>882</v>
      </c>
      <c r="K361" s="43"/>
      <c r="L361" s="43"/>
    </row>
    <row r="362" spans="1:12" ht="60.75">
      <c r="A362" s="125">
        <v>2025</v>
      </c>
      <c r="B362" s="137" t="s">
        <v>909</v>
      </c>
      <c r="C362" s="110">
        <v>61</v>
      </c>
      <c r="D362" s="127" t="s">
        <v>715</v>
      </c>
      <c r="E362" s="127"/>
      <c r="F362" s="110">
        <v>4</v>
      </c>
      <c r="G362" s="126" t="s">
        <v>620</v>
      </c>
      <c r="H362" s="110" t="s">
        <v>640</v>
      </c>
      <c r="I362" s="111" t="s">
        <v>759</v>
      </c>
      <c r="J362" s="127" t="s">
        <v>913</v>
      </c>
      <c r="K362" s="43"/>
      <c r="L362" s="43"/>
    </row>
    <row r="363" spans="1:12" ht="60.75">
      <c r="A363" s="125">
        <v>2025</v>
      </c>
      <c r="B363" s="137" t="s">
        <v>909</v>
      </c>
      <c r="C363" s="110">
        <v>20</v>
      </c>
      <c r="D363" s="127" t="s">
        <v>707</v>
      </c>
      <c r="E363" s="127"/>
      <c r="F363" s="110">
        <v>5</v>
      </c>
      <c r="G363" s="127" t="s">
        <v>708</v>
      </c>
      <c r="H363" s="110" t="s">
        <v>644</v>
      </c>
      <c r="I363" s="111">
        <v>9</v>
      </c>
      <c r="J363" s="127" t="s">
        <v>914</v>
      </c>
      <c r="K363" s="43"/>
      <c r="L363" s="43"/>
    </row>
    <row r="364" spans="1:12">
      <c r="A364" s="125">
        <v>2025</v>
      </c>
      <c r="B364" s="137" t="s">
        <v>909</v>
      </c>
      <c r="C364" s="110">
        <v>30</v>
      </c>
      <c r="D364" s="127" t="s">
        <v>713</v>
      </c>
      <c r="E364" s="127"/>
      <c r="F364" s="110">
        <v>5</v>
      </c>
      <c r="G364" s="126" t="s">
        <v>588</v>
      </c>
      <c r="H364" s="110" t="s">
        <v>644</v>
      </c>
      <c r="I364" s="111">
        <v>2</v>
      </c>
      <c r="J364" s="126" t="s">
        <v>885</v>
      </c>
      <c r="K364" s="43"/>
      <c r="L364" s="43"/>
    </row>
    <row r="365" spans="1:12" ht="60.75">
      <c r="A365" s="125">
        <v>2025</v>
      </c>
      <c r="B365" s="137" t="s">
        <v>909</v>
      </c>
      <c r="C365" s="110">
        <v>62</v>
      </c>
      <c r="D365" s="127" t="s">
        <v>719</v>
      </c>
      <c r="E365" s="127"/>
      <c r="F365" s="110">
        <v>5</v>
      </c>
      <c r="G365" s="127" t="s">
        <v>720</v>
      </c>
      <c r="H365" s="110" t="s">
        <v>644</v>
      </c>
      <c r="I365" s="111" t="s">
        <v>759</v>
      </c>
      <c r="J365" s="127" t="s">
        <v>913</v>
      </c>
      <c r="K365" s="43"/>
      <c r="L365" s="43"/>
    </row>
    <row r="366" spans="1:12" ht="60.75">
      <c r="A366" s="125">
        <v>2025</v>
      </c>
      <c r="B366" s="137" t="s">
        <v>909</v>
      </c>
      <c r="C366" s="110">
        <v>63</v>
      </c>
      <c r="D366" s="127" t="s">
        <v>892</v>
      </c>
      <c r="E366" s="127"/>
      <c r="F366" s="110">
        <v>5</v>
      </c>
      <c r="G366" s="127" t="s">
        <v>720</v>
      </c>
      <c r="H366" s="110" t="s">
        <v>644</v>
      </c>
      <c r="I366" s="111" t="s">
        <v>759</v>
      </c>
      <c r="J366" s="127" t="s">
        <v>913</v>
      </c>
      <c r="K366" s="115"/>
      <c r="L366" s="115"/>
    </row>
    <row r="367" spans="1:12" ht="106.5">
      <c r="A367" s="132">
        <v>2025</v>
      </c>
      <c r="B367" s="133" t="s">
        <v>915</v>
      </c>
      <c r="C367" s="134">
        <v>0</v>
      </c>
      <c r="D367" s="135" t="s">
        <v>585</v>
      </c>
      <c r="E367" s="135" t="s">
        <v>916</v>
      </c>
      <c r="F367" s="165">
        <v>0</v>
      </c>
      <c r="G367" s="126"/>
      <c r="H367" s="134"/>
      <c r="I367" s="136"/>
      <c r="J367" s="133"/>
      <c r="K367" s="43"/>
      <c r="L367" s="43"/>
    </row>
    <row r="368" spans="1:12">
      <c r="A368" s="125">
        <v>2025</v>
      </c>
      <c r="B368" s="126" t="s">
        <v>915</v>
      </c>
      <c r="C368" s="110">
        <v>1</v>
      </c>
      <c r="D368" s="127" t="s">
        <v>587</v>
      </c>
      <c r="E368" s="127"/>
      <c r="F368" s="110">
        <v>1</v>
      </c>
      <c r="G368" s="126" t="s">
        <v>588</v>
      </c>
      <c r="H368" s="110" t="s">
        <v>626</v>
      </c>
      <c r="I368" s="111">
        <v>1</v>
      </c>
      <c r="J368" s="126" t="s">
        <v>589</v>
      </c>
      <c r="K368" s="43"/>
      <c r="L368" s="43"/>
    </row>
    <row r="369" spans="1:12">
      <c r="A369" s="125">
        <v>2025</v>
      </c>
      <c r="B369" s="126" t="s">
        <v>915</v>
      </c>
      <c r="C369" s="110">
        <v>2</v>
      </c>
      <c r="D369" s="127" t="s">
        <v>590</v>
      </c>
      <c r="E369" s="127"/>
      <c r="F369" s="110">
        <v>1</v>
      </c>
      <c r="G369" s="126" t="s">
        <v>588</v>
      </c>
      <c r="H369" s="110" t="s">
        <v>626</v>
      </c>
      <c r="I369" s="111">
        <v>3</v>
      </c>
      <c r="J369" s="127" t="s">
        <v>628</v>
      </c>
      <c r="K369" s="43"/>
      <c r="L369" s="43"/>
    </row>
    <row r="370" spans="1:12" ht="60.75">
      <c r="A370" s="125">
        <v>2025</v>
      </c>
      <c r="B370" s="126" t="s">
        <v>915</v>
      </c>
      <c r="C370" s="110">
        <v>20</v>
      </c>
      <c r="D370" s="127" t="s">
        <v>707</v>
      </c>
      <c r="E370" s="127"/>
      <c r="F370" s="110">
        <v>1</v>
      </c>
      <c r="G370" s="127" t="s">
        <v>917</v>
      </c>
      <c r="H370" s="110" t="s">
        <v>626</v>
      </c>
      <c r="I370" s="111">
        <v>8</v>
      </c>
      <c r="J370" s="127" t="s">
        <v>918</v>
      </c>
      <c r="K370" s="43"/>
      <c r="L370" s="43"/>
    </row>
    <row r="371" spans="1:12">
      <c r="A371" s="125">
        <v>2025</v>
      </c>
      <c r="B371" s="126" t="s">
        <v>915</v>
      </c>
      <c r="C371" s="110">
        <v>30</v>
      </c>
      <c r="D371" s="127" t="s">
        <v>713</v>
      </c>
      <c r="E371" s="127"/>
      <c r="F371" s="110">
        <v>1</v>
      </c>
      <c r="G371" s="126" t="s">
        <v>588</v>
      </c>
      <c r="H371" s="110" t="s">
        <v>626</v>
      </c>
      <c r="I371" s="111">
        <v>5</v>
      </c>
      <c r="J371" s="127" t="s">
        <v>919</v>
      </c>
      <c r="K371" s="43"/>
      <c r="L371" s="43"/>
    </row>
    <row r="372" spans="1:12">
      <c r="A372" s="125">
        <v>2025</v>
      </c>
      <c r="B372" s="126" t="s">
        <v>915</v>
      </c>
      <c r="C372" s="110">
        <v>2</v>
      </c>
      <c r="D372" s="127" t="s">
        <v>590</v>
      </c>
      <c r="E372" s="127"/>
      <c r="F372" s="110">
        <v>2</v>
      </c>
      <c r="G372" s="126" t="s">
        <v>588</v>
      </c>
      <c r="H372" s="110" t="s">
        <v>632</v>
      </c>
      <c r="I372" s="111">
        <v>6</v>
      </c>
      <c r="J372" s="127" t="s">
        <v>920</v>
      </c>
      <c r="K372" s="43"/>
      <c r="L372" s="43"/>
    </row>
    <row r="373" spans="1:12" ht="60.75">
      <c r="A373" s="125">
        <v>2025</v>
      </c>
      <c r="B373" s="126" t="s">
        <v>915</v>
      </c>
      <c r="C373" s="110">
        <v>20</v>
      </c>
      <c r="D373" s="127" t="s">
        <v>707</v>
      </c>
      <c r="E373" s="127"/>
      <c r="F373" s="110">
        <v>2</v>
      </c>
      <c r="G373" s="127" t="s">
        <v>917</v>
      </c>
      <c r="H373" s="110" t="s">
        <v>632</v>
      </c>
      <c r="I373" s="111">
        <v>10</v>
      </c>
      <c r="J373" s="127" t="s">
        <v>921</v>
      </c>
      <c r="K373" s="43"/>
      <c r="L373" s="43"/>
    </row>
    <row r="374" spans="1:12">
      <c r="A374" s="125">
        <v>2025</v>
      </c>
      <c r="B374" s="126" t="s">
        <v>915</v>
      </c>
      <c r="C374" s="110">
        <v>30</v>
      </c>
      <c r="D374" s="127" t="s">
        <v>713</v>
      </c>
      <c r="E374" s="127"/>
      <c r="F374" s="110">
        <v>2</v>
      </c>
      <c r="G374" s="126" t="s">
        <v>588</v>
      </c>
      <c r="H374" s="110" t="s">
        <v>632</v>
      </c>
      <c r="I374" s="111">
        <v>3</v>
      </c>
      <c r="J374" s="127" t="s">
        <v>922</v>
      </c>
      <c r="K374" s="43"/>
      <c r="L374" s="43"/>
    </row>
    <row r="375" spans="1:12" ht="60.75">
      <c r="A375" s="125">
        <v>2025</v>
      </c>
      <c r="B375" s="126" t="s">
        <v>915</v>
      </c>
      <c r="C375" s="110">
        <v>20</v>
      </c>
      <c r="D375" s="127" t="s">
        <v>707</v>
      </c>
      <c r="E375" s="127"/>
      <c r="F375" s="110">
        <v>3</v>
      </c>
      <c r="G375" s="127" t="s">
        <v>917</v>
      </c>
      <c r="H375" s="110" t="s">
        <v>754</v>
      </c>
      <c r="I375" s="111">
        <v>5</v>
      </c>
      <c r="J375" s="127" t="s">
        <v>923</v>
      </c>
      <c r="K375" s="43"/>
      <c r="L375" s="43"/>
    </row>
    <row r="376" spans="1:12" ht="60.75">
      <c r="A376" s="125">
        <v>2025</v>
      </c>
      <c r="B376" s="126" t="s">
        <v>915</v>
      </c>
      <c r="C376" s="110">
        <v>20</v>
      </c>
      <c r="D376" s="127" t="s">
        <v>707</v>
      </c>
      <c r="E376" s="127"/>
      <c r="F376" s="110">
        <v>4</v>
      </c>
      <c r="G376" s="127" t="s">
        <v>917</v>
      </c>
      <c r="H376" s="110" t="s">
        <v>640</v>
      </c>
      <c r="I376" s="111">
        <v>5</v>
      </c>
      <c r="J376" s="127" t="s">
        <v>924</v>
      </c>
      <c r="K376" s="43"/>
      <c r="L376" s="43"/>
    </row>
    <row r="377" spans="1:12" ht="60.75">
      <c r="A377" s="125">
        <v>2025</v>
      </c>
      <c r="B377" s="126" t="s">
        <v>915</v>
      </c>
      <c r="C377" s="110">
        <v>30</v>
      </c>
      <c r="D377" s="127" t="s">
        <v>713</v>
      </c>
      <c r="E377" s="127"/>
      <c r="F377" s="110">
        <v>4</v>
      </c>
      <c r="G377" s="127" t="s">
        <v>917</v>
      </c>
      <c r="H377" s="110" t="s">
        <v>640</v>
      </c>
      <c r="I377" s="111">
        <v>7</v>
      </c>
      <c r="J377" s="127" t="s">
        <v>925</v>
      </c>
      <c r="K377" s="43"/>
      <c r="L377" s="43"/>
    </row>
    <row r="378" spans="1:12">
      <c r="A378" s="125">
        <v>2025</v>
      </c>
      <c r="B378" s="126" t="s">
        <v>915</v>
      </c>
      <c r="C378" s="110">
        <v>30</v>
      </c>
      <c r="D378" s="127" t="s">
        <v>713</v>
      </c>
      <c r="E378" s="127"/>
      <c r="F378" s="110">
        <v>4</v>
      </c>
      <c r="G378" s="126" t="s">
        <v>620</v>
      </c>
      <c r="H378" s="110" t="s">
        <v>640</v>
      </c>
      <c r="I378" s="111">
        <v>4</v>
      </c>
      <c r="J378" s="127" t="s">
        <v>926</v>
      </c>
      <c r="K378" s="43"/>
      <c r="L378" s="43"/>
    </row>
    <row r="379" spans="1:12">
      <c r="A379" s="125">
        <v>2025</v>
      </c>
      <c r="B379" s="126" t="s">
        <v>915</v>
      </c>
      <c r="C379" s="110">
        <v>2</v>
      </c>
      <c r="D379" s="127" t="s">
        <v>590</v>
      </c>
      <c r="E379" s="127"/>
      <c r="F379" s="110">
        <v>5</v>
      </c>
      <c r="G379" s="126" t="s">
        <v>588</v>
      </c>
      <c r="H379" s="110" t="s">
        <v>644</v>
      </c>
      <c r="I379" s="111">
        <v>3</v>
      </c>
      <c r="J379" s="127" t="s">
        <v>630</v>
      </c>
      <c r="K379" s="43"/>
      <c r="L379" s="43"/>
    </row>
    <row r="380" spans="1:12" ht="91.5">
      <c r="A380" s="125">
        <v>2025</v>
      </c>
      <c r="B380" s="126" t="s">
        <v>915</v>
      </c>
      <c r="C380" s="110">
        <v>8</v>
      </c>
      <c r="D380" s="127" t="s">
        <v>634</v>
      </c>
      <c r="E380" s="127"/>
      <c r="F380" s="110">
        <v>5</v>
      </c>
      <c r="G380" s="127" t="s">
        <v>710</v>
      </c>
      <c r="H380" s="110" t="s">
        <v>644</v>
      </c>
      <c r="I380" s="111">
        <v>3</v>
      </c>
      <c r="J380" s="127" t="s">
        <v>711</v>
      </c>
      <c r="K380" s="43"/>
      <c r="L380" s="43"/>
    </row>
    <row r="381" spans="1:12" ht="60.75">
      <c r="A381" s="125">
        <v>2025</v>
      </c>
      <c r="B381" s="126" t="s">
        <v>915</v>
      </c>
      <c r="C381" s="110">
        <v>20</v>
      </c>
      <c r="D381" s="127" t="s">
        <v>707</v>
      </c>
      <c r="E381" s="127"/>
      <c r="F381" s="110">
        <v>5</v>
      </c>
      <c r="G381" s="127" t="s">
        <v>917</v>
      </c>
      <c r="H381" s="110" t="s">
        <v>644</v>
      </c>
      <c r="I381" s="111">
        <v>5</v>
      </c>
      <c r="J381" s="127" t="s">
        <v>927</v>
      </c>
      <c r="K381" s="43"/>
      <c r="L381" s="43"/>
    </row>
    <row r="382" spans="1:12" ht="60.75">
      <c r="A382" s="125">
        <v>2025</v>
      </c>
      <c r="B382" s="126" t="s">
        <v>915</v>
      </c>
      <c r="C382" s="110">
        <v>30</v>
      </c>
      <c r="D382" s="127" t="s">
        <v>713</v>
      </c>
      <c r="E382" s="127"/>
      <c r="F382" s="110">
        <v>5</v>
      </c>
      <c r="G382" s="127" t="s">
        <v>917</v>
      </c>
      <c r="H382" s="110" t="s">
        <v>644</v>
      </c>
      <c r="I382" s="111">
        <v>2</v>
      </c>
      <c r="J382" s="127" t="s">
        <v>928</v>
      </c>
      <c r="K382" s="43"/>
      <c r="L382" s="43"/>
    </row>
    <row r="383" spans="1:12" ht="60.75">
      <c r="A383" s="125">
        <v>2025</v>
      </c>
      <c r="B383" s="229" t="s">
        <v>929</v>
      </c>
      <c r="C383" s="110">
        <v>2</v>
      </c>
      <c r="D383" s="127" t="s">
        <v>590</v>
      </c>
      <c r="E383" s="127"/>
      <c r="F383" s="110">
        <v>1</v>
      </c>
      <c r="G383" s="127" t="s">
        <v>708</v>
      </c>
      <c r="H383" s="110" t="s">
        <v>626</v>
      </c>
      <c r="I383" s="111" t="s">
        <v>642</v>
      </c>
      <c r="J383" s="127" t="s">
        <v>930</v>
      </c>
      <c r="K383" s="43"/>
      <c r="L383" s="43"/>
    </row>
    <row r="384" spans="1:12" ht="60.75">
      <c r="A384" s="125">
        <v>2025</v>
      </c>
      <c r="B384" s="229" t="s">
        <v>929</v>
      </c>
      <c r="C384" s="110">
        <v>5</v>
      </c>
      <c r="D384" s="127" t="s">
        <v>660</v>
      </c>
      <c r="E384" s="127"/>
      <c r="F384" s="110">
        <v>1</v>
      </c>
      <c r="G384" s="127" t="s">
        <v>747</v>
      </c>
      <c r="H384" s="110" t="s">
        <v>626</v>
      </c>
      <c r="I384" s="111" t="s">
        <v>627</v>
      </c>
      <c r="J384" s="127" t="s">
        <v>931</v>
      </c>
      <c r="K384" s="43"/>
      <c r="L384" s="43"/>
    </row>
    <row r="385" spans="1:12" ht="60.75">
      <c r="A385" s="125">
        <v>2025</v>
      </c>
      <c r="B385" s="229" t="s">
        <v>929</v>
      </c>
      <c r="C385" s="110">
        <v>30</v>
      </c>
      <c r="D385" s="127" t="s">
        <v>713</v>
      </c>
      <c r="E385" s="127"/>
      <c r="F385" s="110">
        <v>1</v>
      </c>
      <c r="G385" s="127" t="s">
        <v>708</v>
      </c>
      <c r="H385" s="110" t="s">
        <v>626</v>
      </c>
      <c r="I385" s="111" t="s">
        <v>932</v>
      </c>
      <c r="J385" s="127" t="s">
        <v>589</v>
      </c>
      <c r="K385" s="43"/>
      <c r="L385" s="43"/>
    </row>
    <row r="386" spans="1:12" ht="91.5">
      <c r="A386" s="125">
        <v>2025</v>
      </c>
      <c r="B386" s="229" t="s">
        <v>929</v>
      </c>
      <c r="C386" s="110">
        <v>8</v>
      </c>
      <c r="D386" s="127" t="s">
        <v>634</v>
      </c>
      <c r="E386" s="127"/>
      <c r="F386" s="110">
        <v>2</v>
      </c>
      <c r="G386" s="127" t="s">
        <v>747</v>
      </c>
      <c r="H386" s="110" t="s">
        <v>632</v>
      </c>
      <c r="I386" s="111" t="s">
        <v>627</v>
      </c>
      <c r="J386" s="127" t="s">
        <v>711</v>
      </c>
      <c r="K386" s="43"/>
      <c r="L386" s="43"/>
    </row>
    <row r="387" spans="1:12" ht="60.75">
      <c r="A387" s="125">
        <v>2025</v>
      </c>
      <c r="B387" s="229" t="s">
        <v>929</v>
      </c>
      <c r="C387" s="110">
        <v>10</v>
      </c>
      <c r="D387" s="127" t="s">
        <v>599</v>
      </c>
      <c r="E387" s="127"/>
      <c r="F387" s="110">
        <v>2</v>
      </c>
      <c r="G387" s="127" t="s">
        <v>708</v>
      </c>
      <c r="H387" s="110" t="s">
        <v>632</v>
      </c>
      <c r="I387" s="111" t="s">
        <v>627</v>
      </c>
      <c r="J387" s="127" t="s">
        <v>630</v>
      </c>
      <c r="K387" s="43"/>
      <c r="L387" s="43"/>
    </row>
    <row r="388" spans="1:12" ht="60.75">
      <c r="A388" s="125">
        <v>2025</v>
      </c>
      <c r="B388" s="229" t="s">
        <v>929</v>
      </c>
      <c r="C388" s="110">
        <v>30</v>
      </c>
      <c r="D388" s="127" t="s">
        <v>713</v>
      </c>
      <c r="E388" s="127"/>
      <c r="F388" s="110">
        <v>2</v>
      </c>
      <c r="G388" s="127" t="s">
        <v>708</v>
      </c>
      <c r="H388" s="110" t="s">
        <v>632</v>
      </c>
      <c r="I388" s="111" t="s">
        <v>627</v>
      </c>
      <c r="J388" s="127" t="s">
        <v>763</v>
      </c>
      <c r="K388" s="43"/>
      <c r="L388" s="43"/>
    </row>
    <row r="389" spans="1:12" ht="60.75">
      <c r="A389" s="125">
        <v>2025</v>
      </c>
      <c r="B389" s="126" t="s">
        <v>933</v>
      </c>
      <c r="C389" s="110">
        <v>2</v>
      </c>
      <c r="D389" s="127" t="s">
        <v>590</v>
      </c>
      <c r="E389" s="127"/>
      <c r="F389" s="110">
        <v>1</v>
      </c>
      <c r="G389" s="127" t="s">
        <v>708</v>
      </c>
      <c r="H389" s="110" t="s">
        <v>626</v>
      </c>
      <c r="I389" s="111" t="s">
        <v>743</v>
      </c>
      <c r="J389" s="127" t="s">
        <v>934</v>
      </c>
      <c r="K389" s="43"/>
      <c r="L389" s="43"/>
    </row>
    <row r="390" spans="1:12" ht="60.75">
      <c r="A390" s="125">
        <v>2025</v>
      </c>
      <c r="B390" s="126" t="s">
        <v>933</v>
      </c>
      <c r="C390" s="110">
        <v>13</v>
      </c>
      <c r="D390" s="127" t="s">
        <v>606</v>
      </c>
      <c r="E390" s="127"/>
      <c r="F390" s="110">
        <v>1</v>
      </c>
      <c r="G390" s="127" t="s">
        <v>857</v>
      </c>
      <c r="H390" s="110" t="s">
        <v>626</v>
      </c>
      <c r="I390" s="111" t="s">
        <v>935</v>
      </c>
      <c r="J390" s="127" t="s">
        <v>867</v>
      </c>
      <c r="K390" s="43"/>
      <c r="L390" s="43"/>
    </row>
    <row r="391" spans="1:12" ht="60.75">
      <c r="A391" s="125">
        <v>2025</v>
      </c>
      <c r="B391" s="126" t="s">
        <v>933</v>
      </c>
      <c r="C391" s="110">
        <v>2</v>
      </c>
      <c r="D391" s="127" t="s">
        <v>590</v>
      </c>
      <c r="E391" s="127"/>
      <c r="F391" s="110">
        <v>2</v>
      </c>
      <c r="G391" s="127" t="s">
        <v>708</v>
      </c>
      <c r="H391" s="110" t="s">
        <v>632</v>
      </c>
      <c r="I391" s="111" t="s">
        <v>743</v>
      </c>
      <c r="J391" s="127" t="s">
        <v>936</v>
      </c>
      <c r="K391" s="43"/>
      <c r="L391" s="43"/>
    </row>
    <row r="392" spans="1:12" ht="60.75">
      <c r="A392" s="125">
        <v>2025</v>
      </c>
      <c r="B392" s="126" t="s">
        <v>933</v>
      </c>
      <c r="C392" s="110">
        <v>8</v>
      </c>
      <c r="D392" s="127" t="s">
        <v>634</v>
      </c>
      <c r="E392" s="127"/>
      <c r="F392" s="110">
        <v>2</v>
      </c>
      <c r="G392" s="127" t="s">
        <v>747</v>
      </c>
      <c r="H392" s="110" t="s">
        <v>632</v>
      </c>
      <c r="I392" s="111" t="s">
        <v>627</v>
      </c>
      <c r="J392" s="127" t="s">
        <v>937</v>
      </c>
      <c r="K392" s="43"/>
      <c r="L392" s="43"/>
    </row>
    <row r="393" spans="1:12" ht="60.75">
      <c r="A393" s="125">
        <v>2025</v>
      </c>
      <c r="B393" s="126" t="s">
        <v>933</v>
      </c>
      <c r="C393" s="110">
        <v>40</v>
      </c>
      <c r="D393" s="127" t="s">
        <v>647</v>
      </c>
      <c r="E393" s="127"/>
      <c r="F393" s="110">
        <v>2</v>
      </c>
      <c r="G393" s="127" t="s">
        <v>708</v>
      </c>
      <c r="H393" s="110" t="s">
        <v>632</v>
      </c>
      <c r="I393" s="111" t="s">
        <v>627</v>
      </c>
      <c r="J393" s="127" t="s">
        <v>938</v>
      </c>
      <c r="K393" s="43"/>
      <c r="L393" s="43"/>
    </row>
    <row r="394" spans="1:12">
      <c r="A394" s="125">
        <v>2025</v>
      </c>
      <c r="B394" s="126" t="s">
        <v>939</v>
      </c>
      <c r="C394" s="110">
        <v>1</v>
      </c>
      <c r="D394" s="127" t="s">
        <v>587</v>
      </c>
      <c r="E394" s="127"/>
      <c r="F394" s="110">
        <v>1</v>
      </c>
      <c r="G394" s="126" t="s">
        <v>588</v>
      </c>
      <c r="H394" s="110" t="s">
        <v>626</v>
      </c>
      <c r="I394" s="111">
        <v>1</v>
      </c>
      <c r="J394" s="126" t="s">
        <v>589</v>
      </c>
      <c r="K394" s="43"/>
      <c r="L394" s="43"/>
    </row>
    <row r="395" spans="1:12">
      <c r="A395" s="125">
        <v>2025</v>
      </c>
      <c r="B395" s="126" t="s">
        <v>939</v>
      </c>
      <c r="C395" s="110">
        <v>2</v>
      </c>
      <c r="D395" s="127" t="s">
        <v>590</v>
      </c>
      <c r="E395" s="127"/>
      <c r="F395" s="110">
        <v>1</v>
      </c>
      <c r="G395" s="126" t="s">
        <v>588</v>
      </c>
      <c r="H395" s="110" t="s">
        <v>626</v>
      </c>
      <c r="I395" s="111">
        <v>7</v>
      </c>
      <c r="J395" s="127" t="s">
        <v>808</v>
      </c>
      <c r="K395" s="43"/>
      <c r="L395" s="43"/>
    </row>
    <row r="396" spans="1:12">
      <c r="A396" s="125">
        <v>2025</v>
      </c>
      <c r="B396" s="126" t="s">
        <v>939</v>
      </c>
      <c r="C396" s="110">
        <v>2</v>
      </c>
      <c r="D396" s="127" t="s">
        <v>590</v>
      </c>
      <c r="E396" s="127"/>
      <c r="F396" s="110">
        <v>1</v>
      </c>
      <c r="G396" s="126" t="s">
        <v>620</v>
      </c>
      <c r="H396" s="110" t="s">
        <v>626</v>
      </c>
      <c r="I396" s="111">
        <v>3</v>
      </c>
      <c r="J396" s="127" t="s">
        <v>678</v>
      </c>
      <c r="K396" s="43"/>
      <c r="L396" s="43"/>
    </row>
    <row r="397" spans="1:12" ht="60.75">
      <c r="A397" s="125">
        <v>2025</v>
      </c>
      <c r="B397" s="126" t="s">
        <v>939</v>
      </c>
      <c r="C397" s="110">
        <v>20</v>
      </c>
      <c r="D397" s="127" t="s">
        <v>707</v>
      </c>
      <c r="E397" s="127"/>
      <c r="F397" s="110">
        <v>1</v>
      </c>
      <c r="G397" s="127" t="s">
        <v>708</v>
      </c>
      <c r="H397" s="110" t="s">
        <v>626</v>
      </c>
      <c r="I397" s="111">
        <v>4</v>
      </c>
      <c r="J397" s="127" t="s">
        <v>940</v>
      </c>
      <c r="K397" s="43"/>
      <c r="L397" s="43"/>
    </row>
    <row r="398" spans="1:12">
      <c r="A398" s="125">
        <v>2025</v>
      </c>
      <c r="B398" s="126" t="s">
        <v>939</v>
      </c>
      <c r="C398" s="110">
        <v>30</v>
      </c>
      <c r="D398" s="127" t="s">
        <v>713</v>
      </c>
      <c r="E398" s="127"/>
      <c r="F398" s="110">
        <v>1</v>
      </c>
      <c r="G398" s="126" t="s">
        <v>620</v>
      </c>
      <c r="H398" s="110" t="s">
        <v>626</v>
      </c>
      <c r="I398" s="111" t="s">
        <v>818</v>
      </c>
      <c r="J398" s="127" t="s">
        <v>819</v>
      </c>
      <c r="K398" s="43"/>
      <c r="L398" s="43"/>
    </row>
    <row r="399" spans="1:12">
      <c r="A399" s="125">
        <v>2025</v>
      </c>
      <c r="B399" s="126" t="s">
        <v>939</v>
      </c>
      <c r="C399" s="110">
        <v>2</v>
      </c>
      <c r="D399" s="127" t="s">
        <v>590</v>
      </c>
      <c r="E399" s="127"/>
      <c r="F399" s="110">
        <v>2</v>
      </c>
      <c r="G399" s="126" t="s">
        <v>588</v>
      </c>
      <c r="H399" s="110" t="s">
        <v>632</v>
      </c>
      <c r="I399" s="111">
        <v>3</v>
      </c>
      <c r="J399" s="127" t="s">
        <v>633</v>
      </c>
      <c r="K399" s="43"/>
      <c r="L399" s="43"/>
    </row>
    <row r="400" spans="1:12" ht="60.75">
      <c r="A400" s="125">
        <v>2025</v>
      </c>
      <c r="B400" s="126" t="s">
        <v>939</v>
      </c>
      <c r="C400" s="110">
        <v>20</v>
      </c>
      <c r="D400" s="127" t="s">
        <v>707</v>
      </c>
      <c r="E400" s="127"/>
      <c r="F400" s="110">
        <v>2</v>
      </c>
      <c r="G400" s="127" t="s">
        <v>708</v>
      </c>
      <c r="H400" s="110" t="s">
        <v>632</v>
      </c>
      <c r="I400" s="111">
        <v>7</v>
      </c>
      <c r="J400" s="127" t="s">
        <v>941</v>
      </c>
      <c r="K400" s="43"/>
      <c r="L400" s="43"/>
    </row>
    <row r="401" spans="1:12">
      <c r="A401" s="125">
        <v>2025</v>
      </c>
      <c r="B401" s="126" t="s">
        <v>939</v>
      </c>
      <c r="C401" s="110">
        <v>30</v>
      </c>
      <c r="D401" s="127" t="s">
        <v>713</v>
      </c>
      <c r="E401" s="127"/>
      <c r="F401" s="110">
        <v>2</v>
      </c>
      <c r="G401" s="126" t="s">
        <v>588</v>
      </c>
      <c r="H401" s="110" t="s">
        <v>632</v>
      </c>
      <c r="I401" s="111">
        <v>4</v>
      </c>
      <c r="J401" s="127" t="s">
        <v>811</v>
      </c>
      <c r="K401" s="43"/>
      <c r="L401" s="43"/>
    </row>
    <row r="402" spans="1:12">
      <c r="A402" s="125">
        <v>2025</v>
      </c>
      <c r="B402" s="126" t="s">
        <v>939</v>
      </c>
      <c r="C402" s="110">
        <v>30</v>
      </c>
      <c r="D402" s="127" t="s">
        <v>713</v>
      </c>
      <c r="E402" s="127"/>
      <c r="F402" s="110">
        <v>2</v>
      </c>
      <c r="G402" s="126" t="s">
        <v>620</v>
      </c>
      <c r="H402" s="110" t="s">
        <v>632</v>
      </c>
      <c r="I402" s="111" t="s">
        <v>604</v>
      </c>
      <c r="J402" s="127" t="s">
        <v>942</v>
      </c>
      <c r="K402" s="43"/>
      <c r="L402" s="43"/>
    </row>
    <row r="403" spans="1:12" ht="60.75">
      <c r="A403" s="125">
        <v>2025</v>
      </c>
      <c r="B403" s="126" t="s">
        <v>939</v>
      </c>
      <c r="C403" s="110">
        <v>20</v>
      </c>
      <c r="D403" s="127" t="s">
        <v>707</v>
      </c>
      <c r="E403" s="127"/>
      <c r="F403" s="110">
        <v>4</v>
      </c>
      <c r="G403" s="127" t="s">
        <v>708</v>
      </c>
      <c r="H403" s="110" t="s">
        <v>640</v>
      </c>
      <c r="I403" s="111">
        <v>12</v>
      </c>
      <c r="J403" s="127" t="s">
        <v>943</v>
      </c>
      <c r="K403" s="43"/>
      <c r="L403" s="43"/>
    </row>
    <row r="404" spans="1:12">
      <c r="A404" s="125">
        <v>2025</v>
      </c>
      <c r="B404" s="126" t="s">
        <v>939</v>
      </c>
      <c r="C404" s="110">
        <v>30</v>
      </c>
      <c r="D404" s="127" t="s">
        <v>713</v>
      </c>
      <c r="E404" s="127"/>
      <c r="F404" s="110">
        <v>4</v>
      </c>
      <c r="G404" s="126" t="s">
        <v>588</v>
      </c>
      <c r="H404" s="110" t="s">
        <v>640</v>
      </c>
      <c r="I404" s="111">
        <v>6</v>
      </c>
      <c r="J404" s="127" t="s">
        <v>944</v>
      </c>
      <c r="K404" s="43"/>
      <c r="L404" s="43"/>
    </row>
    <row r="405" spans="1:12" ht="91.5">
      <c r="A405" s="125">
        <v>2025</v>
      </c>
      <c r="B405" s="126" t="s">
        <v>939</v>
      </c>
      <c r="C405" s="110">
        <v>8</v>
      </c>
      <c r="D405" s="127" t="s">
        <v>634</v>
      </c>
      <c r="E405" s="127"/>
      <c r="F405" s="110">
        <v>5</v>
      </c>
      <c r="G405" s="127" t="s">
        <v>710</v>
      </c>
      <c r="H405" s="110" t="s">
        <v>644</v>
      </c>
      <c r="I405" s="111">
        <v>3</v>
      </c>
      <c r="J405" s="127" t="s">
        <v>711</v>
      </c>
      <c r="K405" s="43"/>
      <c r="L405" s="43"/>
    </row>
    <row r="406" spans="1:12" ht="60.75">
      <c r="A406" s="125">
        <v>2025</v>
      </c>
      <c r="B406" s="126" t="s">
        <v>939</v>
      </c>
      <c r="C406" s="110">
        <v>20</v>
      </c>
      <c r="D406" s="127" t="s">
        <v>707</v>
      </c>
      <c r="E406" s="127"/>
      <c r="F406" s="110">
        <v>5</v>
      </c>
      <c r="G406" s="127" t="s">
        <v>708</v>
      </c>
      <c r="H406" s="110" t="s">
        <v>644</v>
      </c>
      <c r="I406" s="111">
        <v>5</v>
      </c>
      <c r="J406" s="127" t="s">
        <v>945</v>
      </c>
      <c r="K406" s="43"/>
      <c r="L406" s="43"/>
    </row>
    <row r="407" spans="1:12">
      <c r="A407" s="125">
        <v>2025</v>
      </c>
      <c r="B407" s="126" t="s">
        <v>939</v>
      </c>
      <c r="C407" s="110">
        <v>30</v>
      </c>
      <c r="D407" s="127" t="s">
        <v>713</v>
      </c>
      <c r="E407" s="127"/>
      <c r="F407" s="110">
        <v>5</v>
      </c>
      <c r="G407" s="126" t="s">
        <v>588</v>
      </c>
      <c r="H407" s="110" t="s">
        <v>644</v>
      </c>
      <c r="I407" s="111">
        <v>9</v>
      </c>
      <c r="J407" s="127" t="s">
        <v>946</v>
      </c>
      <c r="K407" s="43"/>
      <c r="L407" s="43"/>
    </row>
    <row r="408" spans="1:12">
      <c r="A408" s="125">
        <v>2025</v>
      </c>
      <c r="B408" s="126" t="s">
        <v>947</v>
      </c>
      <c r="C408" s="110">
        <v>1</v>
      </c>
      <c r="D408" s="127" t="s">
        <v>587</v>
      </c>
      <c r="E408" s="127"/>
      <c r="F408" s="110">
        <v>1</v>
      </c>
      <c r="G408" s="126" t="s">
        <v>588</v>
      </c>
      <c r="H408" s="110" t="s">
        <v>626</v>
      </c>
      <c r="I408" s="111">
        <v>1</v>
      </c>
      <c r="J408" s="126" t="s">
        <v>589</v>
      </c>
      <c r="K408" s="43"/>
      <c r="L408" s="43"/>
    </row>
    <row r="409" spans="1:12">
      <c r="A409" s="125">
        <v>2025</v>
      </c>
      <c r="B409" s="126" t="s">
        <v>947</v>
      </c>
      <c r="C409" s="110">
        <v>2</v>
      </c>
      <c r="D409" s="127" t="s">
        <v>590</v>
      </c>
      <c r="E409" s="127"/>
      <c r="F409" s="110">
        <v>1</v>
      </c>
      <c r="G409" s="126" t="s">
        <v>588</v>
      </c>
      <c r="H409" s="110" t="s">
        <v>626</v>
      </c>
      <c r="I409" s="111">
        <v>6</v>
      </c>
      <c r="J409" s="127" t="s">
        <v>865</v>
      </c>
      <c r="K409" s="43"/>
      <c r="L409" s="43"/>
    </row>
    <row r="410" spans="1:12">
      <c r="A410" s="125">
        <v>2025</v>
      </c>
      <c r="B410" s="126" t="s">
        <v>947</v>
      </c>
      <c r="C410" s="110">
        <v>12</v>
      </c>
      <c r="D410" s="127" t="s">
        <v>602</v>
      </c>
      <c r="E410" s="127"/>
      <c r="F410" s="110">
        <v>1</v>
      </c>
      <c r="G410" s="126" t="s">
        <v>620</v>
      </c>
      <c r="H410" s="110" t="s">
        <v>626</v>
      </c>
      <c r="I410" s="111" t="s">
        <v>604</v>
      </c>
      <c r="J410" s="127" t="s">
        <v>605</v>
      </c>
      <c r="K410" s="43"/>
      <c r="L410" s="43"/>
    </row>
    <row r="411" spans="1:12" ht="60.75">
      <c r="A411" s="125">
        <v>2025</v>
      </c>
      <c r="B411" s="126" t="s">
        <v>947</v>
      </c>
      <c r="C411" s="110">
        <v>20</v>
      </c>
      <c r="D411" s="127" t="s">
        <v>707</v>
      </c>
      <c r="E411" s="127"/>
      <c r="F411" s="110">
        <v>1</v>
      </c>
      <c r="G411" s="127" t="s">
        <v>708</v>
      </c>
      <c r="H411" s="110" t="s">
        <v>626</v>
      </c>
      <c r="I411" s="111">
        <v>3</v>
      </c>
      <c r="J411" s="127" t="s">
        <v>948</v>
      </c>
      <c r="K411" s="43"/>
      <c r="L411" s="43"/>
    </row>
    <row r="412" spans="1:12">
      <c r="A412" s="125">
        <v>2025</v>
      </c>
      <c r="B412" s="126" t="s">
        <v>947</v>
      </c>
      <c r="C412" s="110">
        <v>30</v>
      </c>
      <c r="D412" s="127" t="s">
        <v>713</v>
      </c>
      <c r="E412" s="127"/>
      <c r="F412" s="110">
        <v>1</v>
      </c>
      <c r="G412" s="126" t="s">
        <v>588</v>
      </c>
      <c r="H412" s="110" t="s">
        <v>626</v>
      </c>
      <c r="I412" s="111">
        <v>3</v>
      </c>
      <c r="J412" s="127" t="s">
        <v>763</v>
      </c>
      <c r="K412" s="43"/>
      <c r="L412" s="43"/>
    </row>
    <row r="413" spans="1:12">
      <c r="A413" s="125">
        <v>2025</v>
      </c>
      <c r="B413" s="126" t="s">
        <v>947</v>
      </c>
      <c r="C413" s="110">
        <v>2</v>
      </c>
      <c r="D413" s="127" t="s">
        <v>590</v>
      </c>
      <c r="E413" s="127"/>
      <c r="F413" s="110">
        <v>2</v>
      </c>
      <c r="G413" s="126" t="s">
        <v>588</v>
      </c>
      <c r="H413" s="110" t="s">
        <v>632</v>
      </c>
      <c r="I413" s="111">
        <v>3</v>
      </c>
      <c r="J413" s="127" t="s">
        <v>633</v>
      </c>
      <c r="K413" s="43"/>
      <c r="L413" s="43"/>
    </row>
    <row r="414" spans="1:12" ht="60.75">
      <c r="A414" s="125">
        <v>2025</v>
      </c>
      <c r="B414" s="126" t="s">
        <v>947</v>
      </c>
      <c r="C414" s="110">
        <v>20</v>
      </c>
      <c r="D414" s="127" t="s">
        <v>707</v>
      </c>
      <c r="E414" s="127"/>
      <c r="F414" s="110">
        <v>2</v>
      </c>
      <c r="G414" s="127" t="s">
        <v>708</v>
      </c>
      <c r="H414" s="110" t="s">
        <v>632</v>
      </c>
      <c r="I414" s="111">
        <v>6</v>
      </c>
      <c r="J414" s="127" t="s">
        <v>949</v>
      </c>
      <c r="K414" s="43"/>
      <c r="L414" s="43"/>
    </row>
    <row r="415" spans="1:12">
      <c r="A415" s="125">
        <v>2025</v>
      </c>
      <c r="B415" s="126" t="s">
        <v>947</v>
      </c>
      <c r="C415" s="110">
        <v>30</v>
      </c>
      <c r="D415" s="127" t="s">
        <v>713</v>
      </c>
      <c r="E415" s="127"/>
      <c r="F415" s="110">
        <v>2</v>
      </c>
      <c r="G415" s="126" t="s">
        <v>588</v>
      </c>
      <c r="H415" s="110" t="s">
        <v>632</v>
      </c>
      <c r="I415" s="111">
        <v>9</v>
      </c>
      <c r="J415" s="127" t="s">
        <v>950</v>
      </c>
      <c r="K415" s="43"/>
      <c r="L415" s="43"/>
    </row>
    <row r="416" spans="1:12" ht="60.75">
      <c r="A416" s="125">
        <v>2025</v>
      </c>
      <c r="B416" s="126" t="s">
        <v>947</v>
      </c>
      <c r="C416" s="110">
        <v>20</v>
      </c>
      <c r="D416" s="127" t="s">
        <v>707</v>
      </c>
      <c r="E416" s="127"/>
      <c r="F416" s="110">
        <v>4</v>
      </c>
      <c r="G416" s="127" t="s">
        <v>708</v>
      </c>
      <c r="H416" s="110" t="s">
        <v>640</v>
      </c>
      <c r="I416" s="111">
        <v>10</v>
      </c>
      <c r="J416" s="127" t="s">
        <v>951</v>
      </c>
      <c r="K416" s="43"/>
      <c r="L416" s="43"/>
    </row>
    <row r="417" spans="1:12">
      <c r="A417" s="125">
        <v>2025</v>
      </c>
      <c r="B417" s="126" t="s">
        <v>947</v>
      </c>
      <c r="C417" s="110">
        <v>30</v>
      </c>
      <c r="D417" s="127" t="s">
        <v>713</v>
      </c>
      <c r="E417" s="127"/>
      <c r="F417" s="110">
        <v>4</v>
      </c>
      <c r="G417" s="126" t="s">
        <v>588</v>
      </c>
      <c r="H417" s="110" t="s">
        <v>640</v>
      </c>
      <c r="I417" s="111">
        <v>3</v>
      </c>
      <c r="J417" s="127" t="s">
        <v>952</v>
      </c>
      <c r="K417" s="43"/>
      <c r="L417" s="43"/>
    </row>
    <row r="418" spans="1:12" ht="30.75">
      <c r="A418" s="125">
        <v>2025</v>
      </c>
      <c r="B418" s="126" t="s">
        <v>947</v>
      </c>
      <c r="C418" s="110">
        <v>60</v>
      </c>
      <c r="D418" s="127" t="s">
        <v>729</v>
      </c>
      <c r="E418" s="127"/>
      <c r="F418" s="110">
        <v>4</v>
      </c>
      <c r="G418" s="126" t="s">
        <v>620</v>
      </c>
      <c r="H418" s="110" t="s">
        <v>640</v>
      </c>
      <c r="I418" s="111">
        <v>3</v>
      </c>
      <c r="J418" s="127" t="s">
        <v>953</v>
      </c>
      <c r="K418" s="43"/>
      <c r="L418" s="43"/>
    </row>
    <row r="419" spans="1:12" ht="91.5">
      <c r="A419" s="125">
        <v>2025</v>
      </c>
      <c r="B419" s="126" t="s">
        <v>947</v>
      </c>
      <c r="C419" s="110">
        <v>8</v>
      </c>
      <c r="D419" s="127" t="s">
        <v>634</v>
      </c>
      <c r="E419" s="127"/>
      <c r="F419" s="110">
        <v>5</v>
      </c>
      <c r="G419" s="127" t="s">
        <v>710</v>
      </c>
      <c r="H419" s="110" t="s">
        <v>644</v>
      </c>
      <c r="I419" s="111">
        <v>3</v>
      </c>
      <c r="J419" s="127" t="s">
        <v>711</v>
      </c>
      <c r="K419" s="43"/>
      <c r="L419" s="43"/>
    </row>
    <row r="420" spans="1:12" ht="60.75">
      <c r="A420" s="125">
        <v>2025</v>
      </c>
      <c r="B420" s="126" t="s">
        <v>947</v>
      </c>
      <c r="C420" s="110">
        <v>20</v>
      </c>
      <c r="D420" s="127" t="s">
        <v>707</v>
      </c>
      <c r="E420" s="127"/>
      <c r="F420" s="110">
        <v>5</v>
      </c>
      <c r="G420" s="127" t="s">
        <v>708</v>
      </c>
      <c r="H420" s="110" t="s">
        <v>644</v>
      </c>
      <c r="I420" s="111">
        <v>3</v>
      </c>
      <c r="J420" s="127" t="s">
        <v>954</v>
      </c>
      <c r="K420" s="43"/>
      <c r="L420" s="43"/>
    </row>
    <row r="421" spans="1:12">
      <c r="A421" s="125">
        <v>2025</v>
      </c>
      <c r="B421" s="126" t="s">
        <v>947</v>
      </c>
      <c r="C421" s="110">
        <v>30</v>
      </c>
      <c r="D421" s="127" t="s">
        <v>713</v>
      </c>
      <c r="E421" s="127"/>
      <c r="F421" s="110">
        <v>5</v>
      </c>
      <c r="G421" s="126" t="s">
        <v>588</v>
      </c>
      <c r="H421" s="110" t="s">
        <v>644</v>
      </c>
      <c r="I421" s="111">
        <v>9</v>
      </c>
      <c r="J421" s="127" t="s">
        <v>955</v>
      </c>
      <c r="K421" s="43"/>
      <c r="L421" s="43"/>
    </row>
    <row r="422" spans="1:12">
      <c r="A422" s="125">
        <v>2025</v>
      </c>
      <c r="B422" s="126" t="s">
        <v>956</v>
      </c>
      <c r="C422" s="110">
        <v>1</v>
      </c>
      <c r="D422" s="127" t="s">
        <v>587</v>
      </c>
      <c r="E422" s="127"/>
      <c r="F422" s="110">
        <v>1</v>
      </c>
      <c r="G422" s="126" t="s">
        <v>588</v>
      </c>
      <c r="H422" s="110" t="s">
        <v>626</v>
      </c>
      <c r="I422" s="111">
        <v>1</v>
      </c>
      <c r="J422" s="126" t="s">
        <v>589</v>
      </c>
      <c r="K422" s="43"/>
      <c r="L422" s="43"/>
    </row>
    <row r="423" spans="1:12">
      <c r="A423" s="125">
        <v>2025</v>
      </c>
      <c r="B423" s="126" t="s">
        <v>956</v>
      </c>
      <c r="C423" s="110">
        <v>2</v>
      </c>
      <c r="D423" s="127" t="s">
        <v>590</v>
      </c>
      <c r="E423" s="127"/>
      <c r="F423" s="110">
        <v>1</v>
      </c>
      <c r="G423" s="126" t="s">
        <v>588</v>
      </c>
      <c r="H423" s="110" t="s">
        <v>626</v>
      </c>
      <c r="I423" s="111">
        <v>3</v>
      </c>
      <c r="J423" s="127" t="s">
        <v>628</v>
      </c>
      <c r="K423" s="43"/>
      <c r="L423" s="43"/>
    </row>
    <row r="424" spans="1:12" ht="60.75">
      <c r="A424" s="125">
        <v>2025</v>
      </c>
      <c r="B424" s="126" t="s">
        <v>956</v>
      </c>
      <c r="C424" s="110">
        <v>20</v>
      </c>
      <c r="D424" s="127" t="s">
        <v>707</v>
      </c>
      <c r="E424" s="127"/>
      <c r="F424" s="110">
        <v>1</v>
      </c>
      <c r="G424" s="127" t="s">
        <v>708</v>
      </c>
      <c r="H424" s="110" t="s">
        <v>626</v>
      </c>
      <c r="I424" s="111">
        <v>13</v>
      </c>
      <c r="J424" s="127" t="s">
        <v>957</v>
      </c>
      <c r="K424" s="43"/>
      <c r="L424" s="43"/>
    </row>
    <row r="425" spans="1:12">
      <c r="A425" s="125">
        <v>2025</v>
      </c>
      <c r="B425" s="126" t="s">
        <v>956</v>
      </c>
      <c r="C425" s="110">
        <v>2</v>
      </c>
      <c r="D425" s="127" t="s">
        <v>590</v>
      </c>
      <c r="E425" s="127"/>
      <c r="F425" s="110">
        <v>2</v>
      </c>
      <c r="G425" s="126" t="s">
        <v>620</v>
      </c>
      <c r="H425" s="110" t="s">
        <v>632</v>
      </c>
      <c r="I425" s="111">
        <v>3</v>
      </c>
      <c r="J425" s="127" t="s">
        <v>738</v>
      </c>
      <c r="K425" s="43"/>
      <c r="L425" s="43"/>
    </row>
    <row r="426" spans="1:12" ht="60.75">
      <c r="A426" s="125">
        <v>2025</v>
      </c>
      <c r="B426" s="126" t="s">
        <v>956</v>
      </c>
      <c r="C426" s="110">
        <v>20</v>
      </c>
      <c r="D426" s="127" t="s">
        <v>707</v>
      </c>
      <c r="E426" s="127"/>
      <c r="F426" s="110">
        <v>2</v>
      </c>
      <c r="G426" s="127" t="s">
        <v>708</v>
      </c>
      <c r="H426" s="110" t="s">
        <v>632</v>
      </c>
      <c r="I426" s="111">
        <v>9</v>
      </c>
      <c r="J426" s="127" t="s">
        <v>958</v>
      </c>
      <c r="K426" s="43"/>
      <c r="L426" s="43"/>
    </row>
    <row r="427" spans="1:12" ht="106.5">
      <c r="A427" s="125">
        <v>2025</v>
      </c>
      <c r="B427" s="126" t="s">
        <v>956</v>
      </c>
      <c r="C427" s="110">
        <v>61</v>
      </c>
      <c r="D427" s="127" t="s">
        <v>715</v>
      </c>
      <c r="E427" s="127"/>
      <c r="F427" s="110">
        <v>2</v>
      </c>
      <c r="G427" s="127" t="s">
        <v>620</v>
      </c>
      <c r="H427" s="110" t="s">
        <v>632</v>
      </c>
      <c r="I427" s="111" t="s">
        <v>959</v>
      </c>
      <c r="J427" s="127" t="s">
        <v>960</v>
      </c>
      <c r="K427" s="43"/>
      <c r="L427" s="43"/>
    </row>
    <row r="428" spans="1:12">
      <c r="A428" s="125">
        <v>2025</v>
      </c>
      <c r="B428" s="126" t="s">
        <v>956</v>
      </c>
      <c r="C428" s="110">
        <v>2</v>
      </c>
      <c r="D428" s="127" t="s">
        <v>590</v>
      </c>
      <c r="E428" s="127"/>
      <c r="F428" s="110">
        <v>4</v>
      </c>
      <c r="G428" s="126" t="s">
        <v>588</v>
      </c>
      <c r="H428" s="110" t="s">
        <v>640</v>
      </c>
      <c r="I428" s="111">
        <v>3</v>
      </c>
      <c r="J428" s="127" t="s">
        <v>630</v>
      </c>
      <c r="K428" s="43"/>
      <c r="L428" s="43"/>
    </row>
    <row r="429" spans="1:12" ht="91.5">
      <c r="A429" s="125">
        <v>2025</v>
      </c>
      <c r="B429" s="126" t="s">
        <v>956</v>
      </c>
      <c r="C429" s="110">
        <v>8</v>
      </c>
      <c r="D429" s="127" t="s">
        <v>634</v>
      </c>
      <c r="E429" s="127"/>
      <c r="F429" s="110">
        <v>4</v>
      </c>
      <c r="G429" s="127" t="s">
        <v>710</v>
      </c>
      <c r="H429" s="110" t="s">
        <v>640</v>
      </c>
      <c r="I429" s="111">
        <v>3</v>
      </c>
      <c r="J429" s="127" t="s">
        <v>711</v>
      </c>
      <c r="K429" s="43"/>
      <c r="L429" s="43"/>
    </row>
    <row r="430" spans="1:12" ht="60.75">
      <c r="A430" s="125">
        <v>2025</v>
      </c>
      <c r="B430" s="126" t="s">
        <v>956</v>
      </c>
      <c r="C430" s="110">
        <v>20</v>
      </c>
      <c r="D430" s="127" t="s">
        <v>707</v>
      </c>
      <c r="E430" s="127"/>
      <c r="F430" s="110">
        <v>4</v>
      </c>
      <c r="G430" s="127" t="s">
        <v>708</v>
      </c>
      <c r="H430" s="110" t="s">
        <v>640</v>
      </c>
      <c r="I430" s="111">
        <v>6</v>
      </c>
      <c r="J430" s="127" t="s">
        <v>961</v>
      </c>
      <c r="K430" s="43"/>
      <c r="L430" s="43"/>
    </row>
    <row r="431" spans="1:12" ht="106.5">
      <c r="A431" s="125">
        <v>2025</v>
      </c>
      <c r="B431" s="126" t="s">
        <v>956</v>
      </c>
      <c r="C431" s="110">
        <v>62</v>
      </c>
      <c r="D431" s="127" t="s">
        <v>719</v>
      </c>
      <c r="E431" s="127"/>
      <c r="F431" s="110">
        <v>4</v>
      </c>
      <c r="G431" s="127" t="s">
        <v>720</v>
      </c>
      <c r="H431" s="110" t="s">
        <v>640</v>
      </c>
      <c r="I431" s="111" t="s">
        <v>959</v>
      </c>
      <c r="J431" s="127" t="s">
        <v>960</v>
      </c>
      <c r="K431" s="43"/>
      <c r="L431" s="43"/>
    </row>
    <row r="432" spans="1:12" ht="106.5">
      <c r="A432" s="125">
        <v>2025</v>
      </c>
      <c r="B432" s="126" t="s">
        <v>956</v>
      </c>
      <c r="C432" s="110">
        <v>63</v>
      </c>
      <c r="D432" s="127" t="s">
        <v>892</v>
      </c>
      <c r="E432" s="127"/>
      <c r="F432" s="110">
        <v>4</v>
      </c>
      <c r="G432" s="127" t="s">
        <v>720</v>
      </c>
      <c r="H432" s="110" t="s">
        <v>640</v>
      </c>
      <c r="I432" s="111" t="s">
        <v>959</v>
      </c>
      <c r="J432" s="127" t="s">
        <v>960</v>
      </c>
      <c r="K432" s="43"/>
      <c r="L432" s="43"/>
    </row>
    <row r="433" spans="1:12">
      <c r="A433" s="125">
        <v>2025</v>
      </c>
      <c r="B433" s="126" t="s">
        <v>956</v>
      </c>
      <c r="C433" s="110">
        <v>2</v>
      </c>
      <c r="D433" s="127" t="s">
        <v>590</v>
      </c>
      <c r="E433" s="127"/>
      <c r="F433" s="110">
        <v>5</v>
      </c>
      <c r="G433" s="126" t="s">
        <v>588</v>
      </c>
      <c r="H433" s="110" t="s">
        <v>644</v>
      </c>
      <c r="I433" s="111">
        <v>3</v>
      </c>
      <c r="J433" s="127" t="s">
        <v>962</v>
      </c>
      <c r="K433" s="43"/>
      <c r="L433" s="43"/>
    </row>
    <row r="434" spans="1:12" ht="60.75">
      <c r="A434" s="125">
        <v>2025</v>
      </c>
      <c r="B434" s="126" t="s">
        <v>956</v>
      </c>
      <c r="C434" s="110">
        <v>20</v>
      </c>
      <c r="D434" s="127" t="s">
        <v>707</v>
      </c>
      <c r="E434" s="127"/>
      <c r="F434" s="110">
        <v>5</v>
      </c>
      <c r="G434" s="127" t="s">
        <v>708</v>
      </c>
      <c r="H434" s="110" t="s">
        <v>644</v>
      </c>
      <c r="I434" s="111">
        <v>7</v>
      </c>
      <c r="J434" s="127" t="s">
        <v>963</v>
      </c>
      <c r="K434" s="43"/>
      <c r="L434" s="43"/>
    </row>
    <row r="435" spans="1:12" ht="106.5">
      <c r="A435" s="125">
        <v>2025</v>
      </c>
      <c r="B435" s="126" t="s">
        <v>956</v>
      </c>
      <c r="C435" s="110">
        <v>64</v>
      </c>
      <c r="D435" s="127" t="s">
        <v>964</v>
      </c>
      <c r="E435" s="127"/>
      <c r="F435" s="110">
        <v>5</v>
      </c>
      <c r="G435" s="127" t="s">
        <v>720</v>
      </c>
      <c r="H435" s="110" t="s">
        <v>644</v>
      </c>
      <c r="I435" s="111" t="s">
        <v>959</v>
      </c>
      <c r="J435" s="127" t="s">
        <v>960</v>
      </c>
      <c r="K435" s="43"/>
      <c r="L435" s="43"/>
    </row>
    <row r="436" spans="1:12" ht="106.5">
      <c r="A436" s="125">
        <v>2025</v>
      </c>
      <c r="B436" s="126" t="s">
        <v>956</v>
      </c>
      <c r="C436" s="110">
        <v>65</v>
      </c>
      <c r="D436" s="127" t="s">
        <v>965</v>
      </c>
      <c r="E436" s="127"/>
      <c r="F436" s="110">
        <v>5</v>
      </c>
      <c r="G436" s="127" t="s">
        <v>720</v>
      </c>
      <c r="H436" s="110" t="s">
        <v>644</v>
      </c>
      <c r="I436" s="111" t="s">
        <v>959</v>
      </c>
      <c r="J436" s="127" t="s">
        <v>960</v>
      </c>
      <c r="K436" s="43"/>
      <c r="L436" s="43"/>
    </row>
    <row r="437" spans="1:12">
      <c r="A437" s="125">
        <v>2025</v>
      </c>
      <c r="B437" s="126" t="s">
        <v>966</v>
      </c>
      <c r="C437" s="110">
        <v>1</v>
      </c>
      <c r="D437" s="127" t="s">
        <v>587</v>
      </c>
      <c r="E437" s="127"/>
      <c r="F437" s="110">
        <v>1</v>
      </c>
      <c r="G437" s="126" t="s">
        <v>588</v>
      </c>
      <c r="H437" s="110" t="s">
        <v>626</v>
      </c>
      <c r="I437" s="111">
        <v>1</v>
      </c>
      <c r="J437" s="126" t="s">
        <v>589</v>
      </c>
      <c r="K437" s="43"/>
      <c r="L437" s="43"/>
    </row>
    <row r="438" spans="1:12">
      <c r="A438" s="125">
        <v>2025</v>
      </c>
      <c r="B438" s="126" t="s">
        <v>966</v>
      </c>
      <c r="C438" s="110">
        <v>2</v>
      </c>
      <c r="D438" s="127" t="s">
        <v>590</v>
      </c>
      <c r="E438" s="127"/>
      <c r="F438" s="110">
        <v>1</v>
      </c>
      <c r="G438" s="126" t="s">
        <v>588</v>
      </c>
      <c r="H438" s="110" t="s">
        <v>626</v>
      </c>
      <c r="I438" s="111">
        <v>3</v>
      </c>
      <c r="J438" s="127" t="s">
        <v>628</v>
      </c>
      <c r="K438" s="43"/>
      <c r="L438" s="43"/>
    </row>
    <row r="439" spans="1:12" ht="60.75">
      <c r="A439" s="125">
        <v>2025</v>
      </c>
      <c r="B439" s="126" t="s">
        <v>966</v>
      </c>
      <c r="C439" s="110">
        <v>20</v>
      </c>
      <c r="D439" s="127" t="s">
        <v>707</v>
      </c>
      <c r="E439" s="127"/>
      <c r="F439" s="110">
        <v>1</v>
      </c>
      <c r="G439" s="127" t="s">
        <v>708</v>
      </c>
      <c r="H439" s="110" t="s">
        <v>626</v>
      </c>
      <c r="I439" s="111">
        <v>13</v>
      </c>
      <c r="J439" s="127" t="s">
        <v>957</v>
      </c>
      <c r="K439" s="43"/>
      <c r="L439" s="43"/>
    </row>
    <row r="440" spans="1:12">
      <c r="A440" s="125">
        <v>2025</v>
      </c>
      <c r="B440" s="126" t="s">
        <v>966</v>
      </c>
      <c r="C440" s="110">
        <v>2</v>
      </c>
      <c r="D440" s="127" t="s">
        <v>590</v>
      </c>
      <c r="E440" s="127"/>
      <c r="F440" s="110">
        <v>2</v>
      </c>
      <c r="G440" s="126" t="s">
        <v>588</v>
      </c>
      <c r="H440" s="110" t="s">
        <v>632</v>
      </c>
      <c r="I440" s="111">
        <v>9</v>
      </c>
      <c r="J440" s="127" t="s">
        <v>967</v>
      </c>
      <c r="K440" s="43"/>
      <c r="L440" s="43"/>
    </row>
    <row r="441" spans="1:12" ht="60.75">
      <c r="A441" s="125">
        <v>2025</v>
      </c>
      <c r="B441" s="126" t="s">
        <v>966</v>
      </c>
      <c r="C441" s="110">
        <v>20</v>
      </c>
      <c r="D441" s="127" t="s">
        <v>707</v>
      </c>
      <c r="E441" s="127"/>
      <c r="F441" s="110">
        <v>2</v>
      </c>
      <c r="G441" s="127" t="s">
        <v>708</v>
      </c>
      <c r="H441" s="110" t="s">
        <v>632</v>
      </c>
      <c r="I441" s="111">
        <v>9</v>
      </c>
      <c r="J441" s="127" t="s">
        <v>958</v>
      </c>
      <c r="K441" s="43"/>
      <c r="L441" s="43"/>
    </row>
    <row r="442" spans="1:12">
      <c r="A442" s="125">
        <v>2025</v>
      </c>
      <c r="B442" s="126" t="s">
        <v>966</v>
      </c>
      <c r="C442" s="110">
        <v>2</v>
      </c>
      <c r="D442" s="127" t="s">
        <v>590</v>
      </c>
      <c r="E442" s="127"/>
      <c r="F442" s="110">
        <v>4</v>
      </c>
      <c r="G442" s="126" t="s">
        <v>588</v>
      </c>
      <c r="H442" s="110" t="s">
        <v>640</v>
      </c>
      <c r="I442" s="111">
        <v>7</v>
      </c>
      <c r="J442" s="127" t="s">
        <v>968</v>
      </c>
      <c r="K442" s="43"/>
      <c r="L442" s="43"/>
    </row>
    <row r="443" spans="1:12">
      <c r="A443" s="125">
        <v>2025</v>
      </c>
      <c r="B443" s="126" t="s">
        <v>966</v>
      </c>
      <c r="C443" s="110">
        <v>8</v>
      </c>
      <c r="D443" s="127" t="s">
        <v>634</v>
      </c>
      <c r="E443" s="127"/>
      <c r="F443" s="110">
        <v>4</v>
      </c>
      <c r="G443" s="127" t="s">
        <v>620</v>
      </c>
      <c r="H443" s="110" t="s">
        <v>640</v>
      </c>
      <c r="I443" s="111">
        <v>3</v>
      </c>
      <c r="J443" s="127" t="s">
        <v>969</v>
      </c>
      <c r="K443" s="43"/>
      <c r="L443" s="43"/>
    </row>
    <row r="444" spans="1:12" ht="60.75">
      <c r="A444" s="125">
        <v>2025</v>
      </c>
      <c r="B444" s="126" t="s">
        <v>966</v>
      </c>
      <c r="C444" s="110">
        <v>20</v>
      </c>
      <c r="D444" s="127" t="s">
        <v>707</v>
      </c>
      <c r="E444" s="127"/>
      <c r="F444" s="110">
        <v>4</v>
      </c>
      <c r="G444" s="127" t="s">
        <v>708</v>
      </c>
      <c r="H444" s="110" t="s">
        <v>640</v>
      </c>
      <c r="I444" s="111">
        <v>9</v>
      </c>
      <c r="J444" s="127" t="s">
        <v>970</v>
      </c>
      <c r="K444" s="43"/>
      <c r="L444" s="43"/>
    </row>
    <row r="445" spans="1:12">
      <c r="A445" s="125">
        <v>2025</v>
      </c>
      <c r="B445" s="126" t="s">
        <v>966</v>
      </c>
      <c r="C445" s="110">
        <v>2</v>
      </c>
      <c r="D445" s="127" t="s">
        <v>590</v>
      </c>
      <c r="E445" s="127"/>
      <c r="F445" s="110">
        <v>5</v>
      </c>
      <c r="G445" s="126" t="s">
        <v>588</v>
      </c>
      <c r="H445" s="110" t="s">
        <v>644</v>
      </c>
      <c r="I445" s="111">
        <v>4</v>
      </c>
      <c r="J445" s="127" t="s">
        <v>971</v>
      </c>
      <c r="K445" s="43"/>
      <c r="L445" s="43"/>
    </row>
    <row r="446" spans="1:12" ht="30.75">
      <c r="A446" s="125">
        <v>2025</v>
      </c>
      <c r="B446" s="126" t="s">
        <v>966</v>
      </c>
      <c r="C446" s="110">
        <v>10</v>
      </c>
      <c r="D446" s="127" t="s">
        <v>599</v>
      </c>
      <c r="E446" s="127"/>
      <c r="F446" s="110">
        <v>5</v>
      </c>
      <c r="G446" s="127" t="s">
        <v>620</v>
      </c>
      <c r="H446" s="110" t="s">
        <v>644</v>
      </c>
      <c r="I446" s="111">
        <v>3</v>
      </c>
      <c r="J446" s="127" t="s">
        <v>972</v>
      </c>
      <c r="K446" s="43"/>
      <c r="L446" s="43"/>
    </row>
    <row r="447" spans="1:12" ht="60.75">
      <c r="A447" s="125">
        <v>2025</v>
      </c>
      <c r="B447" s="126" t="s">
        <v>966</v>
      </c>
      <c r="C447" s="110">
        <v>20</v>
      </c>
      <c r="D447" s="127" t="s">
        <v>707</v>
      </c>
      <c r="E447" s="127"/>
      <c r="F447" s="110">
        <v>5</v>
      </c>
      <c r="G447" s="127" t="s">
        <v>708</v>
      </c>
      <c r="H447" s="110" t="s">
        <v>644</v>
      </c>
      <c r="I447" s="111">
        <v>10</v>
      </c>
      <c r="J447" s="127" t="s">
        <v>973</v>
      </c>
      <c r="K447" s="43"/>
      <c r="L447" s="43"/>
    </row>
    <row r="448" spans="1:12">
      <c r="A448" s="125">
        <v>2025</v>
      </c>
      <c r="B448" s="126" t="s">
        <v>974</v>
      </c>
      <c r="C448" s="110">
        <v>1</v>
      </c>
      <c r="D448" s="127" t="s">
        <v>587</v>
      </c>
      <c r="E448" s="127"/>
      <c r="F448" s="110">
        <v>1</v>
      </c>
      <c r="G448" s="126" t="s">
        <v>588</v>
      </c>
      <c r="H448" s="110" t="s">
        <v>626</v>
      </c>
      <c r="I448" s="111">
        <v>1</v>
      </c>
      <c r="J448" s="126" t="s">
        <v>589</v>
      </c>
      <c r="K448" s="43"/>
      <c r="L448" s="43"/>
    </row>
    <row r="449" spans="1:12">
      <c r="A449" s="125">
        <v>2025</v>
      </c>
      <c r="B449" s="126" t="s">
        <v>974</v>
      </c>
      <c r="C449" s="110">
        <v>2</v>
      </c>
      <c r="D449" s="127" t="s">
        <v>590</v>
      </c>
      <c r="E449" s="127"/>
      <c r="F449" s="110">
        <v>1</v>
      </c>
      <c r="G449" s="126" t="s">
        <v>588</v>
      </c>
      <c r="H449" s="110" t="s">
        <v>626</v>
      </c>
      <c r="I449" s="111">
        <v>3</v>
      </c>
      <c r="J449" s="127" t="s">
        <v>628</v>
      </c>
      <c r="K449" s="43"/>
      <c r="L449" s="43"/>
    </row>
    <row r="450" spans="1:12" ht="60.75">
      <c r="A450" s="125">
        <v>2025</v>
      </c>
      <c r="B450" s="126" t="s">
        <v>974</v>
      </c>
      <c r="C450" s="110">
        <v>20</v>
      </c>
      <c r="D450" s="127" t="s">
        <v>707</v>
      </c>
      <c r="E450" s="127"/>
      <c r="F450" s="110">
        <v>1</v>
      </c>
      <c r="G450" s="127" t="s">
        <v>708</v>
      </c>
      <c r="H450" s="110" t="s">
        <v>626</v>
      </c>
      <c r="I450" s="111">
        <v>13</v>
      </c>
      <c r="J450" s="127" t="s">
        <v>957</v>
      </c>
      <c r="K450" s="43"/>
      <c r="L450" s="43"/>
    </row>
    <row r="451" spans="1:12">
      <c r="A451" s="125">
        <v>2025</v>
      </c>
      <c r="B451" s="126" t="s">
        <v>974</v>
      </c>
      <c r="C451" s="110">
        <v>2</v>
      </c>
      <c r="D451" s="127" t="s">
        <v>590</v>
      </c>
      <c r="E451" s="127"/>
      <c r="F451" s="110">
        <v>2</v>
      </c>
      <c r="G451" s="126" t="s">
        <v>588</v>
      </c>
      <c r="H451" s="110" t="s">
        <v>632</v>
      </c>
      <c r="I451" s="111">
        <v>9</v>
      </c>
      <c r="J451" s="127" t="s">
        <v>967</v>
      </c>
      <c r="K451" s="43"/>
      <c r="L451" s="43"/>
    </row>
    <row r="452" spans="1:12" ht="60.75">
      <c r="A452" s="125">
        <v>2025</v>
      </c>
      <c r="B452" s="126" t="s">
        <v>974</v>
      </c>
      <c r="C452" s="110">
        <v>20</v>
      </c>
      <c r="D452" s="127" t="s">
        <v>707</v>
      </c>
      <c r="E452" s="127"/>
      <c r="F452" s="110">
        <v>2</v>
      </c>
      <c r="G452" s="127" t="s">
        <v>708</v>
      </c>
      <c r="H452" s="110" t="s">
        <v>632</v>
      </c>
      <c r="I452" s="111">
        <v>9</v>
      </c>
      <c r="J452" s="127" t="s">
        <v>958</v>
      </c>
      <c r="K452" s="43"/>
      <c r="L452" s="43"/>
    </row>
    <row r="453" spans="1:12">
      <c r="A453" s="125">
        <v>2025</v>
      </c>
      <c r="B453" s="126" t="s">
        <v>974</v>
      </c>
      <c r="C453" s="110">
        <v>2</v>
      </c>
      <c r="D453" s="127" t="s">
        <v>590</v>
      </c>
      <c r="E453" s="127"/>
      <c r="F453" s="110">
        <v>4</v>
      </c>
      <c r="G453" s="126" t="s">
        <v>588</v>
      </c>
      <c r="H453" s="110" t="s">
        <v>640</v>
      </c>
      <c r="I453" s="111">
        <v>7</v>
      </c>
      <c r="J453" s="127" t="s">
        <v>968</v>
      </c>
      <c r="K453" s="43"/>
      <c r="L453" s="43"/>
    </row>
    <row r="454" spans="1:12">
      <c r="A454" s="125">
        <v>2025</v>
      </c>
      <c r="B454" s="126" t="s">
        <v>974</v>
      </c>
      <c r="C454" s="110">
        <v>8</v>
      </c>
      <c r="D454" s="127" t="s">
        <v>634</v>
      </c>
      <c r="E454" s="127"/>
      <c r="F454" s="110">
        <v>4</v>
      </c>
      <c r="G454" s="127" t="s">
        <v>620</v>
      </c>
      <c r="H454" s="110" t="s">
        <v>640</v>
      </c>
      <c r="I454" s="111">
        <v>3</v>
      </c>
      <c r="J454" s="127" t="s">
        <v>969</v>
      </c>
      <c r="K454" s="43"/>
      <c r="L454" s="43"/>
    </row>
    <row r="455" spans="1:12" ht="30.75">
      <c r="A455" s="125">
        <v>2025</v>
      </c>
      <c r="B455" s="126" t="s">
        <v>974</v>
      </c>
      <c r="C455" s="110">
        <v>10</v>
      </c>
      <c r="D455" s="127" t="s">
        <v>599</v>
      </c>
      <c r="E455" s="127"/>
      <c r="F455" s="110">
        <v>4</v>
      </c>
      <c r="G455" s="127" t="s">
        <v>620</v>
      </c>
      <c r="H455" s="110" t="s">
        <v>640</v>
      </c>
      <c r="I455" s="111">
        <v>3</v>
      </c>
      <c r="J455" s="127" t="s">
        <v>972</v>
      </c>
      <c r="K455" s="43"/>
      <c r="L455" s="43"/>
    </row>
    <row r="456" spans="1:12" ht="60.75">
      <c r="A456" s="125">
        <v>2025</v>
      </c>
      <c r="B456" s="126" t="s">
        <v>974</v>
      </c>
      <c r="C456" s="110">
        <v>20</v>
      </c>
      <c r="D456" s="127" t="s">
        <v>707</v>
      </c>
      <c r="E456" s="127"/>
      <c r="F456" s="110">
        <v>4</v>
      </c>
      <c r="G456" s="127" t="s">
        <v>708</v>
      </c>
      <c r="H456" s="110" t="s">
        <v>640</v>
      </c>
      <c r="I456" s="111">
        <v>6</v>
      </c>
      <c r="J456" s="127" t="s">
        <v>961</v>
      </c>
      <c r="K456" s="43"/>
      <c r="L456" s="43"/>
    </row>
    <row r="457" spans="1:12">
      <c r="A457" s="125">
        <v>2025</v>
      </c>
      <c r="B457" s="126" t="s">
        <v>974</v>
      </c>
      <c r="C457" s="110">
        <v>2</v>
      </c>
      <c r="D457" s="127" t="s">
        <v>590</v>
      </c>
      <c r="E457" s="127"/>
      <c r="F457" s="110">
        <v>5</v>
      </c>
      <c r="G457" s="126" t="s">
        <v>588</v>
      </c>
      <c r="H457" s="110" t="s">
        <v>644</v>
      </c>
      <c r="I457" s="111">
        <v>4</v>
      </c>
      <c r="J457" s="127" t="s">
        <v>971</v>
      </c>
      <c r="K457" s="43"/>
      <c r="L457" s="43"/>
    </row>
    <row r="458" spans="1:12" ht="60.75">
      <c r="A458" s="125">
        <v>2025</v>
      </c>
      <c r="B458" s="126" t="s">
        <v>974</v>
      </c>
      <c r="C458" s="110">
        <v>20</v>
      </c>
      <c r="D458" s="127" t="s">
        <v>707</v>
      </c>
      <c r="E458" s="127"/>
      <c r="F458" s="110">
        <v>5</v>
      </c>
      <c r="G458" s="127" t="s">
        <v>708</v>
      </c>
      <c r="H458" s="110" t="s">
        <v>644</v>
      </c>
      <c r="I458" s="111">
        <v>13</v>
      </c>
      <c r="J458" s="127" t="s">
        <v>975</v>
      </c>
      <c r="K458" s="43"/>
      <c r="L458" s="43"/>
    </row>
    <row r="459" spans="1:12" ht="60.75">
      <c r="A459" s="125">
        <v>2025</v>
      </c>
      <c r="B459" s="229" t="s">
        <v>976</v>
      </c>
      <c r="C459" s="110">
        <v>2</v>
      </c>
      <c r="D459" s="127" t="s">
        <v>590</v>
      </c>
      <c r="E459" s="127"/>
      <c r="F459" s="110">
        <v>1</v>
      </c>
      <c r="G459" s="127" t="s">
        <v>708</v>
      </c>
      <c r="H459" s="110" t="s">
        <v>626</v>
      </c>
      <c r="I459" s="111" t="s">
        <v>743</v>
      </c>
      <c r="J459" s="127" t="s">
        <v>977</v>
      </c>
      <c r="K459" s="43"/>
      <c r="L459" s="43"/>
    </row>
    <row r="460" spans="1:12" ht="60.75">
      <c r="A460" s="125">
        <v>2025</v>
      </c>
      <c r="B460" s="229" t="s">
        <v>976</v>
      </c>
      <c r="C460" s="110">
        <v>2</v>
      </c>
      <c r="D460" s="127" t="s">
        <v>590</v>
      </c>
      <c r="E460" s="127"/>
      <c r="F460" s="110">
        <v>1</v>
      </c>
      <c r="G460" s="127" t="s">
        <v>747</v>
      </c>
      <c r="H460" s="110" t="s">
        <v>626</v>
      </c>
      <c r="I460" s="111" t="s">
        <v>627</v>
      </c>
      <c r="J460" s="127" t="s">
        <v>931</v>
      </c>
      <c r="K460" s="43"/>
      <c r="L460" s="43"/>
    </row>
    <row r="461" spans="1:12" ht="60.75">
      <c r="A461" s="125">
        <v>2025</v>
      </c>
      <c r="B461" s="229" t="s">
        <v>976</v>
      </c>
      <c r="C461" s="110">
        <v>8</v>
      </c>
      <c r="D461" s="127" t="s">
        <v>634</v>
      </c>
      <c r="E461" s="127"/>
      <c r="F461" s="110">
        <v>1</v>
      </c>
      <c r="G461" s="127" t="s">
        <v>747</v>
      </c>
      <c r="H461" s="110" t="s">
        <v>626</v>
      </c>
      <c r="I461" s="111" t="s">
        <v>627</v>
      </c>
      <c r="J461" s="127" t="s">
        <v>937</v>
      </c>
      <c r="K461" s="43"/>
      <c r="L461" s="43"/>
    </row>
    <row r="462" spans="1:12" ht="60.75">
      <c r="A462" s="125">
        <v>2025</v>
      </c>
      <c r="B462" s="229" t="s">
        <v>976</v>
      </c>
      <c r="C462" s="110">
        <v>2</v>
      </c>
      <c r="D462" s="127" t="s">
        <v>590</v>
      </c>
      <c r="E462" s="127"/>
      <c r="F462" s="110">
        <v>2</v>
      </c>
      <c r="G462" s="127" t="s">
        <v>708</v>
      </c>
      <c r="H462" s="110" t="s">
        <v>632</v>
      </c>
      <c r="I462" s="111" t="s">
        <v>627</v>
      </c>
      <c r="J462" s="127" t="s">
        <v>630</v>
      </c>
      <c r="K462" s="43"/>
      <c r="L462" s="43"/>
    </row>
    <row r="463" spans="1:12" ht="60.75">
      <c r="A463" s="125">
        <v>2025</v>
      </c>
      <c r="B463" s="229" t="s">
        <v>976</v>
      </c>
      <c r="C463" s="110">
        <v>40</v>
      </c>
      <c r="D463" s="127" t="s">
        <v>647</v>
      </c>
      <c r="E463" s="127"/>
      <c r="F463" s="110">
        <v>2</v>
      </c>
      <c r="G463" s="127" t="s">
        <v>708</v>
      </c>
      <c r="H463" s="110" t="s">
        <v>632</v>
      </c>
      <c r="I463" s="111" t="s">
        <v>627</v>
      </c>
      <c r="J463" s="127" t="s">
        <v>978</v>
      </c>
      <c r="K463" s="43"/>
      <c r="L463" s="43"/>
    </row>
    <row r="464" spans="1:12" ht="95.25" customHeight="1">
      <c r="A464" s="125">
        <v>2025</v>
      </c>
      <c r="B464" s="229" t="s">
        <v>976</v>
      </c>
      <c r="C464" s="110">
        <v>73</v>
      </c>
      <c r="D464" s="127" t="s">
        <v>979</v>
      </c>
      <c r="E464" s="127"/>
      <c r="F464" s="110">
        <v>2</v>
      </c>
      <c r="G464" s="127" t="s">
        <v>747</v>
      </c>
      <c r="H464" s="110" t="s">
        <v>632</v>
      </c>
      <c r="I464" s="111" t="s">
        <v>627</v>
      </c>
      <c r="J464" s="127" t="s">
        <v>980</v>
      </c>
      <c r="K464" s="43"/>
      <c r="L464" s="43"/>
    </row>
    <row r="465" spans="1:12" ht="60.75">
      <c r="A465" s="125">
        <v>2025</v>
      </c>
      <c r="B465" s="229" t="s">
        <v>976</v>
      </c>
      <c r="C465" s="110">
        <v>74</v>
      </c>
      <c r="D465" s="127" t="s">
        <v>981</v>
      </c>
      <c r="E465" s="127"/>
      <c r="F465" s="110">
        <v>2</v>
      </c>
      <c r="G465" s="127" t="s">
        <v>857</v>
      </c>
      <c r="H465" s="110" t="s">
        <v>632</v>
      </c>
      <c r="I465" s="111" t="s">
        <v>627</v>
      </c>
      <c r="J465" s="127" t="s">
        <v>982</v>
      </c>
      <c r="K465" s="43"/>
      <c r="L465" s="43"/>
    </row>
    <row r="466" spans="1:12">
      <c r="A466" s="125">
        <v>2025</v>
      </c>
      <c r="B466" s="126" t="s">
        <v>983</v>
      </c>
      <c r="C466" s="110">
        <v>2</v>
      </c>
      <c r="D466" s="127" t="s">
        <v>590</v>
      </c>
      <c r="E466" s="127"/>
      <c r="F466" s="110">
        <v>1</v>
      </c>
      <c r="G466" s="126" t="s">
        <v>588</v>
      </c>
      <c r="H466" s="110" t="s">
        <v>626</v>
      </c>
      <c r="I466" s="111">
        <v>3</v>
      </c>
      <c r="J466" s="127" t="s">
        <v>628</v>
      </c>
      <c r="K466" s="43"/>
      <c r="L466" s="43"/>
    </row>
    <row r="467" spans="1:12">
      <c r="A467" s="125">
        <v>2025</v>
      </c>
      <c r="B467" s="126" t="s">
        <v>983</v>
      </c>
      <c r="C467" s="110">
        <v>2</v>
      </c>
      <c r="D467" s="127" t="s">
        <v>590</v>
      </c>
      <c r="E467" s="127"/>
      <c r="F467" s="110">
        <v>1</v>
      </c>
      <c r="G467" s="126" t="s">
        <v>620</v>
      </c>
      <c r="H467" s="110" t="s">
        <v>626</v>
      </c>
      <c r="I467" s="111">
        <v>3</v>
      </c>
      <c r="J467" s="127" t="s">
        <v>984</v>
      </c>
      <c r="K467" s="43"/>
      <c r="L467" s="43"/>
    </row>
    <row r="468" spans="1:12" ht="60.75">
      <c r="A468" s="125">
        <v>2025</v>
      </c>
      <c r="B468" s="126" t="s">
        <v>983</v>
      </c>
      <c r="C468" s="110">
        <v>20</v>
      </c>
      <c r="D468" s="127" t="s">
        <v>707</v>
      </c>
      <c r="E468" s="127"/>
      <c r="F468" s="110">
        <v>1</v>
      </c>
      <c r="G468" s="127" t="s">
        <v>708</v>
      </c>
      <c r="H468" s="110" t="s">
        <v>626</v>
      </c>
      <c r="I468" s="111">
        <v>7</v>
      </c>
      <c r="J468" s="127" t="s">
        <v>985</v>
      </c>
      <c r="K468" s="43"/>
      <c r="L468" s="43"/>
    </row>
    <row r="469" spans="1:12">
      <c r="A469" s="125">
        <v>2025</v>
      </c>
      <c r="B469" s="126" t="s">
        <v>983</v>
      </c>
      <c r="C469" s="110">
        <v>30</v>
      </c>
      <c r="D469" s="127" t="s">
        <v>713</v>
      </c>
      <c r="E469" s="127"/>
      <c r="F469" s="110">
        <v>1</v>
      </c>
      <c r="G469" s="126" t="s">
        <v>588</v>
      </c>
      <c r="H469" s="110" t="s">
        <v>626</v>
      </c>
      <c r="I469" s="111">
        <v>1</v>
      </c>
      <c r="J469" s="127" t="s">
        <v>589</v>
      </c>
      <c r="K469" s="43"/>
      <c r="L469" s="43"/>
    </row>
    <row r="470" spans="1:12">
      <c r="A470" s="125">
        <v>2025</v>
      </c>
      <c r="B470" s="126" t="s">
        <v>983</v>
      </c>
      <c r="C470" s="110">
        <v>2</v>
      </c>
      <c r="D470" s="127" t="s">
        <v>590</v>
      </c>
      <c r="E470" s="127"/>
      <c r="F470" s="110">
        <v>2</v>
      </c>
      <c r="G470" s="126" t="s">
        <v>588</v>
      </c>
      <c r="H470" s="110" t="s">
        <v>632</v>
      </c>
      <c r="I470" s="111">
        <v>4</v>
      </c>
      <c r="J470" s="127" t="s">
        <v>639</v>
      </c>
      <c r="K470" s="43"/>
      <c r="L470" s="43"/>
    </row>
    <row r="471" spans="1:12">
      <c r="A471" s="125">
        <v>2025</v>
      </c>
      <c r="B471" s="126" t="s">
        <v>983</v>
      </c>
      <c r="C471" s="110">
        <v>2</v>
      </c>
      <c r="D471" s="127" t="s">
        <v>590</v>
      </c>
      <c r="E471" s="127"/>
      <c r="F471" s="110">
        <v>2</v>
      </c>
      <c r="G471" s="126" t="s">
        <v>620</v>
      </c>
      <c r="H471" s="110" t="s">
        <v>632</v>
      </c>
      <c r="I471" s="111">
        <v>3</v>
      </c>
      <c r="J471" s="127" t="s">
        <v>986</v>
      </c>
      <c r="K471" s="43"/>
      <c r="L471" s="43"/>
    </row>
    <row r="472" spans="1:12" ht="60.75">
      <c r="A472" s="125">
        <v>2025</v>
      </c>
      <c r="B472" s="126" t="s">
        <v>983</v>
      </c>
      <c r="C472" s="110">
        <v>20</v>
      </c>
      <c r="D472" s="127" t="s">
        <v>707</v>
      </c>
      <c r="E472" s="127"/>
      <c r="F472" s="110">
        <v>2</v>
      </c>
      <c r="G472" s="127" t="s">
        <v>708</v>
      </c>
      <c r="H472" s="110" t="s">
        <v>632</v>
      </c>
      <c r="I472" s="111">
        <v>6</v>
      </c>
      <c r="J472" s="127" t="s">
        <v>987</v>
      </c>
      <c r="K472" s="43"/>
      <c r="L472" s="43"/>
    </row>
    <row r="473" spans="1:12">
      <c r="A473" s="125">
        <v>2025</v>
      </c>
      <c r="B473" s="126" t="s">
        <v>983</v>
      </c>
      <c r="C473" s="110">
        <v>30</v>
      </c>
      <c r="D473" s="127" t="s">
        <v>713</v>
      </c>
      <c r="E473" s="127"/>
      <c r="F473" s="110">
        <v>2</v>
      </c>
      <c r="G473" s="126" t="s">
        <v>620</v>
      </c>
      <c r="H473" s="110" t="s">
        <v>632</v>
      </c>
      <c r="I473" s="111">
        <v>3</v>
      </c>
      <c r="J473" s="127" t="s">
        <v>988</v>
      </c>
      <c r="K473" s="43"/>
      <c r="L473" s="43"/>
    </row>
    <row r="474" spans="1:12">
      <c r="A474" s="125">
        <v>2025</v>
      </c>
      <c r="B474" s="126" t="s">
        <v>983</v>
      </c>
      <c r="C474" s="110">
        <v>30</v>
      </c>
      <c r="D474" s="127" t="s">
        <v>713</v>
      </c>
      <c r="E474" s="127"/>
      <c r="F474" s="110">
        <v>3</v>
      </c>
      <c r="G474" s="126" t="s">
        <v>588</v>
      </c>
      <c r="H474" s="110" t="s">
        <v>754</v>
      </c>
      <c r="I474" s="111">
        <v>2</v>
      </c>
      <c r="J474" s="127" t="s">
        <v>989</v>
      </c>
      <c r="K474" s="43"/>
      <c r="L474" s="43"/>
    </row>
    <row r="475" spans="1:12">
      <c r="A475" s="125">
        <v>2025</v>
      </c>
      <c r="B475" s="126" t="s">
        <v>983</v>
      </c>
      <c r="C475" s="110">
        <v>2</v>
      </c>
      <c r="D475" s="127" t="s">
        <v>590</v>
      </c>
      <c r="E475" s="127"/>
      <c r="F475" s="110">
        <v>4</v>
      </c>
      <c r="G475" s="126" t="s">
        <v>620</v>
      </c>
      <c r="H475" s="110" t="s">
        <v>640</v>
      </c>
      <c r="I475" s="111">
        <v>3</v>
      </c>
      <c r="J475" s="127" t="s">
        <v>931</v>
      </c>
      <c r="K475" s="43"/>
      <c r="L475" s="43"/>
    </row>
    <row r="476" spans="1:12" ht="60.75">
      <c r="A476" s="125">
        <v>2025</v>
      </c>
      <c r="B476" s="126" t="s">
        <v>983</v>
      </c>
      <c r="C476" s="110">
        <v>20</v>
      </c>
      <c r="D476" s="127" t="s">
        <v>707</v>
      </c>
      <c r="E476" s="127"/>
      <c r="F476" s="110">
        <v>4</v>
      </c>
      <c r="G476" s="127" t="s">
        <v>708</v>
      </c>
      <c r="H476" s="110" t="s">
        <v>640</v>
      </c>
      <c r="I476" s="111">
        <v>3</v>
      </c>
      <c r="J476" s="127" t="s">
        <v>990</v>
      </c>
      <c r="K476" s="43"/>
      <c r="L476" s="43"/>
    </row>
    <row r="477" spans="1:12">
      <c r="A477" s="125">
        <v>2025</v>
      </c>
      <c r="B477" s="126" t="s">
        <v>983</v>
      </c>
      <c r="C477" s="110">
        <v>30</v>
      </c>
      <c r="D477" s="127" t="s">
        <v>713</v>
      </c>
      <c r="E477" s="127"/>
      <c r="F477" s="110">
        <v>4</v>
      </c>
      <c r="G477" s="126" t="s">
        <v>588</v>
      </c>
      <c r="H477" s="110" t="s">
        <v>640</v>
      </c>
      <c r="I477" s="111">
        <v>9</v>
      </c>
      <c r="J477" s="127" t="s">
        <v>991</v>
      </c>
      <c r="K477" s="43"/>
      <c r="L477" s="43"/>
    </row>
    <row r="478" spans="1:12">
      <c r="A478" s="125">
        <v>2025</v>
      </c>
      <c r="B478" s="126" t="s">
        <v>983</v>
      </c>
      <c r="C478" s="110">
        <v>30</v>
      </c>
      <c r="D478" s="127" t="s">
        <v>713</v>
      </c>
      <c r="E478" s="127"/>
      <c r="F478" s="110">
        <v>5</v>
      </c>
      <c r="G478" s="126" t="s">
        <v>588</v>
      </c>
      <c r="H478" s="110" t="s">
        <v>644</v>
      </c>
      <c r="I478" s="111">
        <v>9</v>
      </c>
      <c r="J478" s="127" t="s">
        <v>992</v>
      </c>
      <c r="K478" s="43"/>
      <c r="L478" s="43"/>
    </row>
    <row r="479" spans="1:12">
      <c r="A479" s="125">
        <v>2025</v>
      </c>
      <c r="B479" s="126" t="s">
        <v>983</v>
      </c>
      <c r="C479" s="110">
        <v>30</v>
      </c>
      <c r="D479" s="127" t="s">
        <v>713</v>
      </c>
      <c r="E479" s="127"/>
      <c r="F479" s="110">
        <v>5</v>
      </c>
      <c r="G479" s="126" t="s">
        <v>620</v>
      </c>
      <c r="H479" s="110" t="s">
        <v>644</v>
      </c>
      <c r="I479" s="111">
        <v>3</v>
      </c>
      <c r="J479" s="127" t="s">
        <v>993</v>
      </c>
      <c r="K479" s="43"/>
      <c r="L479" s="43"/>
    </row>
    <row r="480" spans="1:12">
      <c r="A480" s="125">
        <v>2025</v>
      </c>
      <c r="B480" s="126" t="s">
        <v>983</v>
      </c>
      <c r="C480" s="110">
        <v>61</v>
      </c>
      <c r="D480" s="127" t="s">
        <v>715</v>
      </c>
      <c r="E480" s="127"/>
      <c r="F480" s="110">
        <v>5</v>
      </c>
      <c r="G480" s="126" t="s">
        <v>620</v>
      </c>
      <c r="H480" s="110" t="s">
        <v>644</v>
      </c>
      <c r="I480" s="111">
        <v>3</v>
      </c>
      <c r="J480" s="127" t="s">
        <v>994</v>
      </c>
      <c r="K480" s="43"/>
      <c r="L480" s="43"/>
    </row>
    <row r="481" spans="1:12">
      <c r="A481" s="125">
        <v>2025</v>
      </c>
      <c r="B481" s="126" t="s">
        <v>983</v>
      </c>
      <c r="C481" s="110">
        <v>62</v>
      </c>
      <c r="D481" s="127" t="s">
        <v>719</v>
      </c>
      <c r="E481" s="127"/>
      <c r="F481" s="110">
        <v>5</v>
      </c>
      <c r="G481" s="127" t="s">
        <v>720</v>
      </c>
      <c r="H481" s="110" t="s">
        <v>644</v>
      </c>
      <c r="I481" s="111">
        <v>3</v>
      </c>
      <c r="J481" s="127" t="s">
        <v>994</v>
      </c>
      <c r="K481" s="43"/>
      <c r="L481" s="43"/>
    </row>
    <row r="482" spans="1:12" ht="130.5" customHeight="1">
      <c r="A482" s="125">
        <v>2025</v>
      </c>
      <c r="B482" s="126" t="s">
        <v>995</v>
      </c>
      <c r="C482" s="110">
        <v>20</v>
      </c>
      <c r="D482" s="127" t="s">
        <v>707</v>
      </c>
      <c r="E482" s="127"/>
      <c r="F482" s="110">
        <v>1</v>
      </c>
      <c r="G482" s="127" t="s">
        <v>708</v>
      </c>
      <c r="H482" s="147" t="s">
        <v>996</v>
      </c>
      <c r="I482" s="111">
        <v>15</v>
      </c>
      <c r="J482" s="127" t="s">
        <v>997</v>
      </c>
      <c r="K482" s="43"/>
      <c r="L482" s="43"/>
    </row>
    <row r="483" spans="1:12" ht="113.25">
      <c r="A483" s="125">
        <v>2025</v>
      </c>
      <c r="B483" s="126" t="s">
        <v>995</v>
      </c>
      <c r="C483" s="110">
        <v>40</v>
      </c>
      <c r="D483" s="127" t="s">
        <v>647</v>
      </c>
      <c r="E483" s="127"/>
      <c r="F483" s="110">
        <v>1</v>
      </c>
      <c r="G483" s="127" t="s">
        <v>998</v>
      </c>
      <c r="H483" s="147" t="s">
        <v>996</v>
      </c>
      <c r="I483" s="111">
        <v>3</v>
      </c>
      <c r="J483" s="127" t="s">
        <v>999</v>
      </c>
      <c r="K483" s="43"/>
      <c r="L483" s="43"/>
    </row>
    <row r="484" spans="1:12" ht="100.5">
      <c r="A484" s="125">
        <v>2025</v>
      </c>
      <c r="B484" s="126" t="s">
        <v>1000</v>
      </c>
      <c r="C484" s="110">
        <v>20</v>
      </c>
      <c r="D484" s="127" t="s">
        <v>707</v>
      </c>
      <c r="E484" s="127"/>
      <c r="F484" s="110">
        <v>1</v>
      </c>
      <c r="G484" s="127" t="s">
        <v>708</v>
      </c>
      <c r="H484" s="147" t="s">
        <v>1001</v>
      </c>
      <c r="I484" s="111">
        <v>10</v>
      </c>
      <c r="J484" s="127" t="s">
        <v>1002</v>
      </c>
      <c r="K484" s="43"/>
      <c r="L484" s="43"/>
    </row>
    <row r="485" spans="1:12" ht="100.5">
      <c r="A485" s="125">
        <v>2025</v>
      </c>
      <c r="B485" s="126" t="s">
        <v>1000</v>
      </c>
      <c r="C485" s="110">
        <v>40</v>
      </c>
      <c r="D485" s="127" t="s">
        <v>647</v>
      </c>
      <c r="E485" s="127"/>
      <c r="F485" s="110">
        <v>1</v>
      </c>
      <c r="G485" s="127" t="s">
        <v>588</v>
      </c>
      <c r="H485" s="147" t="s">
        <v>1001</v>
      </c>
      <c r="I485" s="111">
        <v>6</v>
      </c>
      <c r="J485" s="127" t="s">
        <v>1003</v>
      </c>
      <c r="K485" s="43"/>
      <c r="L485" s="43"/>
    </row>
    <row r="486" spans="1:12" ht="113.25">
      <c r="A486" s="125">
        <v>2025</v>
      </c>
      <c r="B486" s="126" t="s">
        <v>1004</v>
      </c>
      <c r="C486" s="110">
        <v>20</v>
      </c>
      <c r="D486" s="127" t="s">
        <v>707</v>
      </c>
      <c r="E486" s="127"/>
      <c r="F486" s="110">
        <v>1</v>
      </c>
      <c r="G486" s="127" t="s">
        <v>708</v>
      </c>
      <c r="H486" s="147" t="s">
        <v>996</v>
      </c>
      <c r="I486" s="111">
        <v>6</v>
      </c>
      <c r="J486" s="127" t="s">
        <v>1005</v>
      </c>
      <c r="K486" s="43"/>
      <c r="L486" s="43"/>
    </row>
    <row r="487" spans="1:12" ht="113.25">
      <c r="A487" s="125">
        <v>2025</v>
      </c>
      <c r="B487" s="126" t="s">
        <v>1004</v>
      </c>
      <c r="C487" s="110">
        <v>40</v>
      </c>
      <c r="D487" s="127" t="s">
        <v>647</v>
      </c>
      <c r="E487" s="127"/>
      <c r="F487" s="110">
        <v>1</v>
      </c>
      <c r="G487" s="127" t="s">
        <v>588</v>
      </c>
      <c r="H487" s="147" t="s">
        <v>996</v>
      </c>
      <c r="I487" s="111">
        <v>12</v>
      </c>
      <c r="J487" s="127" t="s">
        <v>1006</v>
      </c>
      <c r="K487" s="43"/>
      <c r="L487" s="43"/>
    </row>
    <row r="488" spans="1:12" ht="100.5">
      <c r="A488" s="125">
        <v>2025</v>
      </c>
      <c r="B488" s="126" t="s">
        <v>1007</v>
      </c>
      <c r="C488" s="110">
        <v>20</v>
      </c>
      <c r="D488" s="127" t="s">
        <v>707</v>
      </c>
      <c r="E488" s="127"/>
      <c r="F488" s="110">
        <v>1</v>
      </c>
      <c r="G488" s="127" t="s">
        <v>708</v>
      </c>
      <c r="H488" s="147" t="s">
        <v>1001</v>
      </c>
      <c r="I488" s="111">
        <v>16</v>
      </c>
      <c r="J488" s="127" t="s">
        <v>1008</v>
      </c>
      <c r="K488" s="43"/>
      <c r="L488" s="43"/>
    </row>
    <row r="489" spans="1:12" ht="113.25">
      <c r="A489" s="125">
        <v>2025</v>
      </c>
      <c r="B489" s="126" t="s">
        <v>1009</v>
      </c>
      <c r="C489" s="110">
        <v>20</v>
      </c>
      <c r="D489" s="127" t="s">
        <v>707</v>
      </c>
      <c r="E489" s="127"/>
      <c r="F489" s="110">
        <v>1</v>
      </c>
      <c r="G489" s="127" t="s">
        <v>708</v>
      </c>
      <c r="H489" s="147" t="s">
        <v>1010</v>
      </c>
      <c r="I489" s="111">
        <v>17</v>
      </c>
      <c r="J489" s="127" t="s">
        <v>1011</v>
      </c>
      <c r="K489" s="43"/>
      <c r="L489" s="43"/>
    </row>
    <row r="490" spans="1:12" ht="113.25">
      <c r="A490" s="125">
        <v>2025</v>
      </c>
      <c r="B490" s="126" t="s">
        <v>1012</v>
      </c>
      <c r="C490" s="110">
        <v>20</v>
      </c>
      <c r="D490" s="127" t="s">
        <v>707</v>
      </c>
      <c r="E490" s="127"/>
      <c r="F490" s="110">
        <v>1</v>
      </c>
      <c r="G490" s="127" t="s">
        <v>708</v>
      </c>
      <c r="H490" s="147" t="s">
        <v>1013</v>
      </c>
      <c r="I490" s="111">
        <v>15</v>
      </c>
      <c r="J490" s="127" t="s">
        <v>1014</v>
      </c>
      <c r="K490" s="43"/>
      <c r="L490" s="43"/>
    </row>
    <row r="491" spans="1:12" ht="113.25">
      <c r="A491" s="125">
        <v>2025</v>
      </c>
      <c r="B491" s="126" t="s">
        <v>1012</v>
      </c>
      <c r="C491" s="110">
        <v>40</v>
      </c>
      <c r="D491" s="127" t="s">
        <v>647</v>
      </c>
      <c r="E491" s="127"/>
      <c r="F491" s="110">
        <v>1</v>
      </c>
      <c r="G491" s="127" t="s">
        <v>588</v>
      </c>
      <c r="H491" s="147" t="s">
        <v>1013</v>
      </c>
      <c r="I491" s="111">
        <v>3</v>
      </c>
      <c r="J491" s="127" t="s">
        <v>1015</v>
      </c>
      <c r="K491" s="43"/>
      <c r="L491" s="43"/>
    </row>
    <row r="492" spans="1:12" ht="113.25">
      <c r="A492" s="125">
        <v>2025</v>
      </c>
      <c r="B492" s="126" t="s">
        <v>1016</v>
      </c>
      <c r="C492" s="110">
        <v>20</v>
      </c>
      <c r="D492" s="127" t="s">
        <v>707</v>
      </c>
      <c r="E492" s="127"/>
      <c r="F492" s="110">
        <v>1</v>
      </c>
      <c r="G492" s="127" t="s">
        <v>708</v>
      </c>
      <c r="H492" s="147" t="s">
        <v>1013</v>
      </c>
      <c r="I492" s="111">
        <v>12</v>
      </c>
      <c r="J492" s="127" t="s">
        <v>1017</v>
      </c>
      <c r="K492" s="43"/>
      <c r="L492" s="43"/>
    </row>
    <row r="493" spans="1:12" ht="113.25">
      <c r="A493" s="125">
        <v>2025</v>
      </c>
      <c r="B493" s="126" t="s">
        <v>1018</v>
      </c>
      <c r="C493" s="110">
        <v>20</v>
      </c>
      <c r="D493" s="127" t="s">
        <v>707</v>
      </c>
      <c r="E493" s="127"/>
      <c r="F493" s="110">
        <v>1</v>
      </c>
      <c r="G493" s="127" t="s">
        <v>708</v>
      </c>
      <c r="H493" s="147" t="s">
        <v>1019</v>
      </c>
      <c r="I493" s="111">
        <v>12</v>
      </c>
      <c r="J493" s="127" t="s">
        <v>1020</v>
      </c>
      <c r="K493" s="43"/>
      <c r="L493" s="43"/>
    </row>
    <row r="494" spans="1:12" ht="113.25">
      <c r="A494" s="125">
        <v>2025</v>
      </c>
      <c r="B494" s="126" t="s">
        <v>1018</v>
      </c>
      <c r="C494" s="110">
        <v>40</v>
      </c>
      <c r="D494" s="127" t="s">
        <v>647</v>
      </c>
      <c r="E494" s="127"/>
      <c r="F494" s="110">
        <v>1</v>
      </c>
      <c r="G494" s="127" t="s">
        <v>588</v>
      </c>
      <c r="H494" s="147" t="s">
        <v>1019</v>
      </c>
      <c r="I494" s="111">
        <v>6</v>
      </c>
      <c r="J494" s="127" t="s">
        <v>1021</v>
      </c>
      <c r="K494" s="43"/>
      <c r="L494" s="43"/>
    </row>
    <row r="495" spans="1:12" ht="113.25">
      <c r="A495" s="125">
        <v>2025</v>
      </c>
      <c r="B495" s="126" t="s">
        <v>1022</v>
      </c>
      <c r="C495" s="110">
        <v>20</v>
      </c>
      <c r="D495" s="127" t="s">
        <v>707</v>
      </c>
      <c r="E495" s="127"/>
      <c r="F495" s="110">
        <v>1</v>
      </c>
      <c r="G495" s="127" t="s">
        <v>708</v>
      </c>
      <c r="H495" s="147" t="s">
        <v>1019</v>
      </c>
      <c r="I495" s="111">
        <v>9</v>
      </c>
      <c r="J495" s="127" t="s">
        <v>1023</v>
      </c>
      <c r="K495" s="43"/>
      <c r="L495" s="43"/>
    </row>
    <row r="496" spans="1:12" ht="113.25">
      <c r="A496" s="125">
        <v>2025</v>
      </c>
      <c r="B496" s="126" t="s">
        <v>1022</v>
      </c>
      <c r="C496" s="110">
        <v>40</v>
      </c>
      <c r="D496" s="127" t="s">
        <v>647</v>
      </c>
      <c r="E496" s="127"/>
      <c r="F496" s="110">
        <v>1</v>
      </c>
      <c r="G496" s="127" t="s">
        <v>588</v>
      </c>
      <c r="H496" s="147" t="s">
        <v>1019</v>
      </c>
      <c r="I496" s="111">
        <v>3</v>
      </c>
      <c r="J496" s="127" t="s">
        <v>1024</v>
      </c>
      <c r="K496" s="43"/>
      <c r="L496" s="43"/>
    </row>
    <row r="497" spans="1:12" ht="113.25">
      <c r="A497" s="125">
        <v>2025</v>
      </c>
      <c r="B497" s="126" t="s">
        <v>1025</v>
      </c>
      <c r="C497" s="110">
        <v>20</v>
      </c>
      <c r="D497" s="127" t="s">
        <v>707</v>
      </c>
      <c r="E497" s="127"/>
      <c r="F497" s="110">
        <v>1</v>
      </c>
      <c r="G497" s="127" t="s">
        <v>708</v>
      </c>
      <c r="H497" s="147" t="s">
        <v>1026</v>
      </c>
      <c r="I497" s="111">
        <v>3</v>
      </c>
      <c r="J497" s="127" t="s">
        <v>1027</v>
      </c>
      <c r="K497" s="43"/>
      <c r="L497" s="43"/>
    </row>
    <row r="498" spans="1:12" ht="113.25">
      <c r="A498" s="125">
        <v>2025</v>
      </c>
      <c r="B498" s="126" t="s">
        <v>1025</v>
      </c>
      <c r="C498" s="110">
        <v>40</v>
      </c>
      <c r="D498" s="127" t="s">
        <v>647</v>
      </c>
      <c r="E498" s="127"/>
      <c r="F498" s="110">
        <v>1</v>
      </c>
      <c r="G498" s="127" t="s">
        <v>588</v>
      </c>
      <c r="H498" s="147" t="s">
        <v>1026</v>
      </c>
      <c r="I498" s="111">
        <v>15</v>
      </c>
      <c r="J498" s="127" t="s">
        <v>1028</v>
      </c>
      <c r="K498" s="43"/>
      <c r="L498" s="43"/>
    </row>
    <row r="499" spans="1:12" ht="113.25">
      <c r="A499" s="125">
        <v>2025</v>
      </c>
      <c r="B499" s="126" t="s">
        <v>1029</v>
      </c>
      <c r="C499" s="110">
        <v>20</v>
      </c>
      <c r="D499" s="127" t="s">
        <v>707</v>
      </c>
      <c r="E499" s="127"/>
      <c r="F499" s="110">
        <v>1</v>
      </c>
      <c r="G499" s="127" t="s">
        <v>708</v>
      </c>
      <c r="H499" s="147" t="s">
        <v>1026</v>
      </c>
      <c r="I499" s="111">
        <v>9</v>
      </c>
      <c r="J499" s="127" t="s">
        <v>1030</v>
      </c>
      <c r="K499" s="43"/>
      <c r="L499" s="43"/>
    </row>
    <row r="500" spans="1:12" ht="113.25">
      <c r="A500" s="125">
        <v>2025</v>
      </c>
      <c r="B500" s="126" t="s">
        <v>1029</v>
      </c>
      <c r="C500" s="110">
        <v>40</v>
      </c>
      <c r="D500" s="127" t="s">
        <v>647</v>
      </c>
      <c r="E500" s="127"/>
      <c r="F500" s="110">
        <v>1</v>
      </c>
      <c r="G500" s="127" t="s">
        <v>588</v>
      </c>
      <c r="H500" s="147" t="s">
        <v>1026</v>
      </c>
      <c r="I500" s="111">
        <v>9</v>
      </c>
      <c r="J500" s="127" t="s">
        <v>1031</v>
      </c>
      <c r="K500" s="43"/>
      <c r="L500" s="43"/>
    </row>
    <row r="501" spans="1:12" s="12" customFormat="1" ht="113.25">
      <c r="A501" s="125">
        <v>2025</v>
      </c>
      <c r="B501" s="126" t="s">
        <v>1032</v>
      </c>
      <c r="C501" s="110">
        <v>20</v>
      </c>
      <c r="D501" s="127" t="s">
        <v>707</v>
      </c>
      <c r="E501" s="127"/>
      <c r="F501" s="110">
        <v>1</v>
      </c>
      <c r="G501" s="127" t="s">
        <v>708</v>
      </c>
      <c r="H501" s="147" t="s">
        <v>1026</v>
      </c>
      <c r="I501" s="111">
        <v>9</v>
      </c>
      <c r="J501" s="127" t="s">
        <v>1030</v>
      </c>
      <c r="K501" s="43"/>
      <c r="L501" s="43"/>
    </row>
    <row r="502" spans="1:12" ht="113.25">
      <c r="A502" s="125">
        <v>2025</v>
      </c>
      <c r="B502" s="126" t="s">
        <v>1032</v>
      </c>
      <c r="C502" s="110">
        <v>40</v>
      </c>
      <c r="D502" s="127" t="s">
        <v>647</v>
      </c>
      <c r="E502" s="127"/>
      <c r="F502" s="110">
        <v>1</v>
      </c>
      <c r="G502" s="127" t="s">
        <v>588</v>
      </c>
      <c r="H502" s="147" t="s">
        <v>1026</v>
      </c>
      <c r="I502" s="111">
        <v>9</v>
      </c>
      <c r="J502" s="127" t="s">
        <v>1033</v>
      </c>
      <c r="K502" s="43"/>
      <c r="L502" s="43"/>
    </row>
    <row r="503" spans="1:12" ht="113.25">
      <c r="A503" s="125">
        <v>2025</v>
      </c>
      <c r="B503" s="126" t="s">
        <v>1034</v>
      </c>
      <c r="C503" s="110">
        <v>20</v>
      </c>
      <c r="D503" s="127" t="s">
        <v>707</v>
      </c>
      <c r="E503" s="127"/>
      <c r="F503" s="110">
        <v>1</v>
      </c>
      <c r="G503" s="127" t="s">
        <v>708</v>
      </c>
      <c r="H503" s="147" t="s">
        <v>1026</v>
      </c>
      <c r="I503" s="111">
        <v>9</v>
      </c>
      <c r="J503" s="127" t="s">
        <v>1035</v>
      </c>
      <c r="K503" s="43"/>
      <c r="L503" s="43"/>
    </row>
    <row r="504" spans="1:12" ht="113.25">
      <c r="A504" s="125">
        <v>2025</v>
      </c>
      <c r="B504" s="126" t="s">
        <v>1034</v>
      </c>
      <c r="C504" s="110">
        <v>40</v>
      </c>
      <c r="D504" s="127" t="s">
        <v>647</v>
      </c>
      <c r="E504" s="127"/>
      <c r="F504" s="110">
        <v>1</v>
      </c>
      <c r="G504" s="127" t="s">
        <v>588</v>
      </c>
      <c r="H504" s="147" t="s">
        <v>1026</v>
      </c>
      <c r="I504" s="111">
        <v>9</v>
      </c>
      <c r="J504" s="127" t="s">
        <v>1036</v>
      </c>
      <c r="K504" s="43"/>
      <c r="L504" s="43"/>
    </row>
    <row r="505" spans="1:12" ht="113.25">
      <c r="A505" s="125">
        <v>2025</v>
      </c>
      <c r="B505" s="126" t="s">
        <v>1037</v>
      </c>
      <c r="C505" s="110">
        <v>20</v>
      </c>
      <c r="D505" s="127" t="s">
        <v>707</v>
      </c>
      <c r="E505" s="127"/>
      <c r="F505" s="110">
        <v>1</v>
      </c>
      <c r="G505" s="127" t="s">
        <v>708</v>
      </c>
      <c r="H505" s="147" t="s">
        <v>1026</v>
      </c>
      <c r="I505" s="111">
        <v>6</v>
      </c>
      <c r="J505" s="127" t="s">
        <v>1038</v>
      </c>
      <c r="K505" s="43"/>
      <c r="L505" s="43"/>
    </row>
    <row r="506" spans="1:12" ht="113.25">
      <c r="A506" s="125">
        <v>2025</v>
      </c>
      <c r="B506" s="126" t="s">
        <v>1037</v>
      </c>
      <c r="C506" s="110">
        <v>40</v>
      </c>
      <c r="D506" s="127" t="s">
        <v>647</v>
      </c>
      <c r="E506" s="127"/>
      <c r="F506" s="110">
        <v>1</v>
      </c>
      <c r="G506" s="127" t="s">
        <v>588</v>
      </c>
      <c r="H506" s="147" t="s">
        <v>1026</v>
      </c>
      <c r="I506" s="111">
        <v>6</v>
      </c>
      <c r="J506" s="127" t="s">
        <v>1021</v>
      </c>
      <c r="K506" s="43"/>
      <c r="L506" s="43"/>
    </row>
    <row r="507" spans="1:12" ht="88.5">
      <c r="A507" s="125">
        <v>2025</v>
      </c>
      <c r="B507" s="126" t="s">
        <v>1039</v>
      </c>
      <c r="C507" s="110">
        <v>12</v>
      </c>
      <c r="D507" s="127" t="s">
        <v>602</v>
      </c>
      <c r="E507" s="127"/>
      <c r="F507" s="110">
        <v>1</v>
      </c>
      <c r="G507" s="126" t="s">
        <v>620</v>
      </c>
      <c r="H507" s="147" t="s">
        <v>1040</v>
      </c>
      <c r="I507" s="111" t="s">
        <v>604</v>
      </c>
      <c r="J507" s="127" t="s">
        <v>605</v>
      </c>
      <c r="K507" s="43"/>
      <c r="L507" s="43"/>
    </row>
    <row r="508" spans="1:12" ht="88.5">
      <c r="A508" s="125">
        <v>2025</v>
      </c>
      <c r="B508" s="126" t="s">
        <v>1039</v>
      </c>
      <c r="C508" s="110">
        <v>20</v>
      </c>
      <c r="D508" s="127" t="s">
        <v>707</v>
      </c>
      <c r="E508" s="127"/>
      <c r="F508" s="110">
        <v>1</v>
      </c>
      <c r="G508" s="127" t="s">
        <v>708</v>
      </c>
      <c r="H508" s="147" t="s">
        <v>1040</v>
      </c>
      <c r="I508" s="111">
        <v>11</v>
      </c>
      <c r="J508" s="127" t="s">
        <v>1041</v>
      </c>
      <c r="K508" s="43"/>
      <c r="L508" s="43"/>
    </row>
    <row r="509" spans="1:12" ht="91.5">
      <c r="A509" s="125">
        <v>2025</v>
      </c>
      <c r="B509" s="126" t="s">
        <v>1039</v>
      </c>
      <c r="C509" s="110">
        <v>40</v>
      </c>
      <c r="D509" s="127" t="s">
        <v>647</v>
      </c>
      <c r="E509" s="127"/>
      <c r="F509" s="110">
        <v>1</v>
      </c>
      <c r="G509" s="127" t="s">
        <v>655</v>
      </c>
      <c r="H509" s="147" t="s">
        <v>1040</v>
      </c>
      <c r="I509" s="111">
        <v>3</v>
      </c>
      <c r="J509" s="127" t="s">
        <v>1042</v>
      </c>
      <c r="K509" s="43"/>
      <c r="L509" s="43"/>
    </row>
    <row r="510" spans="1:12" ht="88.5">
      <c r="A510" s="125">
        <v>2025</v>
      </c>
      <c r="B510" s="126" t="s">
        <v>1043</v>
      </c>
      <c r="C510" s="110">
        <v>20</v>
      </c>
      <c r="D510" s="127" t="s">
        <v>707</v>
      </c>
      <c r="E510" s="127"/>
      <c r="F510" s="110">
        <v>1</v>
      </c>
      <c r="G510" s="127" t="s">
        <v>708</v>
      </c>
      <c r="H510" s="147" t="s">
        <v>1040</v>
      </c>
      <c r="I510" s="111">
        <v>7</v>
      </c>
      <c r="J510" s="127" t="s">
        <v>787</v>
      </c>
      <c r="K510" s="43"/>
      <c r="L510" s="43"/>
    </row>
    <row r="511" spans="1:12" ht="88.5">
      <c r="A511" s="125">
        <v>2025</v>
      </c>
      <c r="B511" s="126" t="s">
        <v>1043</v>
      </c>
      <c r="C511" s="110">
        <v>40</v>
      </c>
      <c r="D511" s="127" t="s">
        <v>647</v>
      </c>
      <c r="E511" s="127"/>
      <c r="F511" s="110">
        <v>1</v>
      </c>
      <c r="G511" s="126" t="s">
        <v>588</v>
      </c>
      <c r="H511" s="147" t="s">
        <v>1040</v>
      </c>
      <c r="I511" s="111">
        <v>11</v>
      </c>
      <c r="J511" s="127" t="s">
        <v>1044</v>
      </c>
      <c r="K511" s="43"/>
      <c r="L511" s="43"/>
    </row>
    <row r="512" spans="1:12" ht="88.5">
      <c r="A512" s="125">
        <v>2025</v>
      </c>
      <c r="B512" s="126" t="s">
        <v>1045</v>
      </c>
      <c r="C512" s="110">
        <v>20</v>
      </c>
      <c r="D512" s="127" t="s">
        <v>707</v>
      </c>
      <c r="E512" s="127"/>
      <c r="F512" s="110">
        <v>1</v>
      </c>
      <c r="G512" s="127" t="s">
        <v>708</v>
      </c>
      <c r="H512" s="147" t="s">
        <v>1040</v>
      </c>
      <c r="I512" s="111">
        <v>10</v>
      </c>
      <c r="J512" s="127" t="s">
        <v>1046</v>
      </c>
      <c r="K512" s="43"/>
      <c r="L512" s="43"/>
    </row>
    <row r="513" spans="1:12" ht="88.5">
      <c r="A513" s="125">
        <v>2025</v>
      </c>
      <c r="B513" s="126" t="s">
        <v>1045</v>
      </c>
      <c r="C513" s="110">
        <v>40</v>
      </c>
      <c r="D513" s="127" t="s">
        <v>647</v>
      </c>
      <c r="E513" s="127"/>
      <c r="F513" s="110">
        <v>1</v>
      </c>
      <c r="G513" s="127" t="s">
        <v>588</v>
      </c>
      <c r="H513" s="147" t="s">
        <v>1040</v>
      </c>
      <c r="I513" s="111">
        <v>7</v>
      </c>
      <c r="J513" s="127" t="s">
        <v>1047</v>
      </c>
      <c r="K513" s="43"/>
      <c r="L513" s="43"/>
    </row>
    <row r="514" spans="1:12" ht="88.5">
      <c r="A514" s="125">
        <v>2025</v>
      </c>
      <c r="B514" s="126" t="s">
        <v>1048</v>
      </c>
      <c r="C514" s="110">
        <v>20</v>
      </c>
      <c r="D514" s="127" t="s">
        <v>707</v>
      </c>
      <c r="E514" s="127"/>
      <c r="F514" s="110">
        <v>1</v>
      </c>
      <c r="G514" s="127" t="s">
        <v>708</v>
      </c>
      <c r="H514" s="147" t="s">
        <v>1040</v>
      </c>
      <c r="I514" s="111">
        <v>13</v>
      </c>
      <c r="J514" s="127" t="s">
        <v>1049</v>
      </c>
      <c r="K514" s="43"/>
      <c r="L514" s="43"/>
    </row>
    <row r="515" spans="1:12" ht="88.5">
      <c r="A515" s="125">
        <v>2025</v>
      </c>
      <c r="B515" s="126" t="s">
        <v>1048</v>
      </c>
      <c r="C515" s="110">
        <v>40</v>
      </c>
      <c r="D515" s="127" t="s">
        <v>647</v>
      </c>
      <c r="E515" s="127"/>
      <c r="F515" s="110">
        <v>1</v>
      </c>
      <c r="G515" s="127" t="s">
        <v>588</v>
      </c>
      <c r="H515" s="147" t="s">
        <v>1040</v>
      </c>
      <c r="I515" s="111">
        <v>3</v>
      </c>
      <c r="J515" s="127" t="s">
        <v>791</v>
      </c>
      <c r="K515" s="43"/>
      <c r="L515" s="43"/>
    </row>
    <row r="516" spans="1:12" ht="137.25">
      <c r="A516" s="125">
        <v>2025</v>
      </c>
      <c r="B516" s="126" t="s">
        <v>1050</v>
      </c>
      <c r="C516" s="110">
        <v>20</v>
      </c>
      <c r="D516" s="127" t="s">
        <v>707</v>
      </c>
      <c r="E516" s="127"/>
      <c r="F516" s="110">
        <v>1</v>
      </c>
      <c r="G516" s="127" t="s">
        <v>708</v>
      </c>
      <c r="H516" s="145" t="s">
        <v>1051</v>
      </c>
      <c r="I516" s="111">
        <v>12</v>
      </c>
      <c r="J516" s="127" t="s">
        <v>795</v>
      </c>
      <c r="K516" s="43"/>
      <c r="L516" s="43"/>
    </row>
    <row r="517" spans="1:12" ht="137.25">
      <c r="A517" s="125">
        <v>2025</v>
      </c>
      <c r="B517" s="126" t="s">
        <v>1050</v>
      </c>
      <c r="C517" s="110">
        <v>40</v>
      </c>
      <c r="D517" s="127" t="s">
        <v>647</v>
      </c>
      <c r="E517" s="127"/>
      <c r="F517" s="110">
        <v>1</v>
      </c>
      <c r="G517" s="126" t="s">
        <v>588</v>
      </c>
      <c r="H517" s="145" t="s">
        <v>1051</v>
      </c>
      <c r="I517" s="111">
        <v>1</v>
      </c>
      <c r="J517" s="127" t="s">
        <v>1052</v>
      </c>
      <c r="K517" s="43"/>
      <c r="L517" s="43"/>
    </row>
    <row r="518" spans="1:12" ht="137.25">
      <c r="A518" s="125">
        <v>2025</v>
      </c>
      <c r="B518" s="126" t="s">
        <v>1053</v>
      </c>
      <c r="C518" s="110">
        <v>20</v>
      </c>
      <c r="D518" s="127" t="s">
        <v>707</v>
      </c>
      <c r="E518" s="127"/>
      <c r="F518" s="110">
        <v>1</v>
      </c>
      <c r="G518" s="127" t="s">
        <v>708</v>
      </c>
      <c r="H518" s="145" t="s">
        <v>1051</v>
      </c>
      <c r="I518" s="111">
        <v>16</v>
      </c>
      <c r="J518" s="127" t="s">
        <v>1054</v>
      </c>
      <c r="K518" s="43"/>
      <c r="L518" s="43"/>
    </row>
    <row r="519" spans="1:12" ht="137.25">
      <c r="A519" s="125">
        <v>2025</v>
      </c>
      <c r="B519" s="126" t="s">
        <v>1053</v>
      </c>
      <c r="C519" s="110">
        <v>40</v>
      </c>
      <c r="D519" s="127" t="s">
        <v>647</v>
      </c>
      <c r="E519" s="127"/>
      <c r="F519" s="110">
        <v>1</v>
      </c>
      <c r="G519" s="126" t="s">
        <v>588</v>
      </c>
      <c r="H519" s="145" t="s">
        <v>1051</v>
      </c>
      <c r="I519" s="111">
        <v>1</v>
      </c>
      <c r="J519" s="127" t="s">
        <v>1052</v>
      </c>
      <c r="K519" s="115"/>
      <c r="L519" s="115"/>
    </row>
    <row r="520" spans="1:12" ht="106.5">
      <c r="A520" s="125">
        <v>2025</v>
      </c>
      <c r="B520" s="133" t="s">
        <v>1055</v>
      </c>
      <c r="C520" s="134">
        <v>0</v>
      </c>
      <c r="D520" s="135" t="s">
        <v>585</v>
      </c>
      <c r="E520" s="135" t="s">
        <v>807</v>
      </c>
      <c r="F520" s="165">
        <v>0</v>
      </c>
      <c r="G520" s="126"/>
      <c r="H520" s="110"/>
      <c r="I520" s="136"/>
      <c r="J520" s="133"/>
      <c r="K520" s="43"/>
      <c r="L520" s="43"/>
    </row>
    <row r="521" spans="1:12" ht="100.5">
      <c r="A521" s="125">
        <v>2025</v>
      </c>
      <c r="B521" s="126" t="s">
        <v>1055</v>
      </c>
      <c r="C521" s="110">
        <v>20</v>
      </c>
      <c r="D521" s="127" t="s">
        <v>707</v>
      </c>
      <c r="E521" s="127"/>
      <c r="F521" s="110">
        <v>1</v>
      </c>
      <c r="G521" s="127" t="s">
        <v>708</v>
      </c>
      <c r="H521" s="147" t="s">
        <v>1056</v>
      </c>
      <c r="I521" s="111">
        <v>15</v>
      </c>
      <c r="J521" s="127" t="s">
        <v>1057</v>
      </c>
      <c r="K521" s="43"/>
      <c r="L521" s="43"/>
    </row>
    <row r="522" spans="1:12" ht="100.5">
      <c r="A522" s="125">
        <v>2025</v>
      </c>
      <c r="B522" s="126" t="s">
        <v>1055</v>
      </c>
      <c r="C522" s="110">
        <v>40</v>
      </c>
      <c r="D522" s="127" t="s">
        <v>647</v>
      </c>
      <c r="E522" s="127"/>
      <c r="F522" s="110">
        <v>1</v>
      </c>
      <c r="G522" s="126" t="s">
        <v>588</v>
      </c>
      <c r="H522" s="147" t="s">
        <v>1056</v>
      </c>
      <c r="I522" s="111">
        <v>3</v>
      </c>
      <c r="J522" s="127" t="s">
        <v>751</v>
      </c>
      <c r="K522" s="43"/>
      <c r="L522" s="43"/>
    </row>
    <row r="523" spans="1:12" ht="100.5">
      <c r="A523" s="125">
        <v>2025</v>
      </c>
      <c r="B523" s="126" t="s">
        <v>1058</v>
      </c>
      <c r="C523" s="110">
        <v>20</v>
      </c>
      <c r="D523" s="127" t="s">
        <v>707</v>
      </c>
      <c r="E523" s="127"/>
      <c r="F523" s="110">
        <v>1</v>
      </c>
      <c r="G523" s="127" t="s">
        <v>708</v>
      </c>
      <c r="H523" s="147" t="s">
        <v>1059</v>
      </c>
      <c r="I523" s="111">
        <v>16</v>
      </c>
      <c r="J523" s="127" t="s">
        <v>1060</v>
      </c>
      <c r="K523" s="43"/>
      <c r="L523" s="43"/>
    </row>
    <row r="524" spans="1:12" ht="100.5">
      <c r="A524" s="125">
        <v>2025</v>
      </c>
      <c r="B524" s="137" t="s">
        <v>1061</v>
      </c>
      <c r="C524" s="110">
        <v>20</v>
      </c>
      <c r="D524" s="127" t="s">
        <v>707</v>
      </c>
      <c r="E524" s="130"/>
      <c r="F524" s="131">
        <v>1</v>
      </c>
      <c r="G524" s="127" t="s">
        <v>708</v>
      </c>
      <c r="H524" s="147" t="s">
        <v>1062</v>
      </c>
      <c r="I524" s="129">
        <v>18</v>
      </c>
      <c r="J524" s="130" t="s">
        <v>1063</v>
      </c>
      <c r="K524" s="115"/>
      <c r="L524" s="115"/>
    </row>
    <row r="525" spans="1:12" ht="113.25">
      <c r="A525" s="125">
        <v>2025</v>
      </c>
      <c r="B525" s="137" t="s">
        <v>1064</v>
      </c>
      <c r="C525" s="110">
        <v>20</v>
      </c>
      <c r="D525" s="127" t="s">
        <v>707</v>
      </c>
      <c r="E525" s="130"/>
      <c r="F525" s="131">
        <v>1</v>
      </c>
      <c r="G525" s="127" t="s">
        <v>708</v>
      </c>
      <c r="H525" s="147" t="s">
        <v>1065</v>
      </c>
      <c r="I525" s="129">
        <v>18</v>
      </c>
      <c r="J525" s="130" t="s">
        <v>1066</v>
      </c>
      <c r="K525" s="115"/>
      <c r="L525" s="115"/>
    </row>
    <row r="526" spans="1:12" ht="100.5">
      <c r="A526" s="125">
        <v>2025</v>
      </c>
      <c r="B526" s="137" t="s">
        <v>1067</v>
      </c>
      <c r="C526" s="110">
        <v>20</v>
      </c>
      <c r="D526" s="127" t="s">
        <v>707</v>
      </c>
      <c r="E526" s="130"/>
      <c r="F526" s="131">
        <v>1</v>
      </c>
      <c r="G526" s="127" t="s">
        <v>708</v>
      </c>
      <c r="H526" s="147" t="s">
        <v>1068</v>
      </c>
      <c r="I526" s="129">
        <v>18</v>
      </c>
      <c r="J526" s="130" t="s">
        <v>1069</v>
      </c>
      <c r="K526" s="115"/>
      <c r="L526" s="115"/>
    </row>
    <row r="527" spans="1:12" ht="100.5">
      <c r="A527" s="125">
        <v>2025</v>
      </c>
      <c r="B527" s="137" t="s">
        <v>1070</v>
      </c>
      <c r="C527" s="110">
        <v>20</v>
      </c>
      <c r="D527" s="127" t="s">
        <v>707</v>
      </c>
      <c r="E527" s="130"/>
      <c r="F527" s="131">
        <v>1</v>
      </c>
      <c r="G527" s="127" t="s">
        <v>708</v>
      </c>
      <c r="H527" s="147" t="s">
        <v>1071</v>
      </c>
      <c r="I527" s="129">
        <v>18</v>
      </c>
      <c r="J527" s="130" t="s">
        <v>1072</v>
      </c>
      <c r="K527" s="115"/>
      <c r="L527" s="115"/>
    </row>
    <row r="528" spans="1:12" ht="106.5">
      <c r="A528" s="132">
        <v>2025</v>
      </c>
      <c r="B528" s="133" t="s">
        <v>1073</v>
      </c>
      <c r="C528" s="134">
        <v>0</v>
      </c>
      <c r="D528" s="135" t="s">
        <v>585</v>
      </c>
      <c r="E528" s="135" t="s">
        <v>916</v>
      </c>
      <c r="F528" s="165">
        <v>0</v>
      </c>
      <c r="G528" s="126"/>
      <c r="H528" s="134"/>
      <c r="I528" s="136"/>
      <c r="J528" s="133"/>
      <c r="K528" s="43"/>
      <c r="L528" s="43"/>
    </row>
    <row r="529" spans="1:12" ht="88.5">
      <c r="A529" s="125">
        <v>2025</v>
      </c>
      <c r="B529" s="137" t="s">
        <v>1073</v>
      </c>
      <c r="C529" s="110">
        <v>20</v>
      </c>
      <c r="D529" s="127" t="s">
        <v>707</v>
      </c>
      <c r="E529" s="130"/>
      <c r="F529" s="131">
        <v>1</v>
      </c>
      <c r="G529" s="130" t="s">
        <v>917</v>
      </c>
      <c r="H529" s="147" t="s">
        <v>1074</v>
      </c>
      <c r="I529" s="129">
        <v>13</v>
      </c>
      <c r="J529" s="130" t="s">
        <v>1075</v>
      </c>
      <c r="K529" s="43"/>
      <c r="L529" s="43"/>
    </row>
    <row r="530" spans="1:12" ht="88.5">
      <c r="A530" s="125">
        <v>2025</v>
      </c>
      <c r="B530" s="137" t="s">
        <v>1073</v>
      </c>
      <c r="C530" s="110">
        <v>40</v>
      </c>
      <c r="D530" s="130" t="s">
        <v>647</v>
      </c>
      <c r="E530" s="130"/>
      <c r="F530" s="131">
        <v>1</v>
      </c>
      <c r="G530" s="130" t="s">
        <v>917</v>
      </c>
      <c r="H530" s="147" t="s">
        <v>1074</v>
      </c>
      <c r="I530" s="129">
        <v>2</v>
      </c>
      <c r="J530" s="130" t="s">
        <v>1076</v>
      </c>
      <c r="K530" s="43"/>
      <c r="L530" s="43"/>
    </row>
    <row r="531" spans="1:12" ht="113.25">
      <c r="A531" s="125">
        <v>2025</v>
      </c>
      <c r="B531" s="137" t="s">
        <v>1077</v>
      </c>
      <c r="C531" s="110">
        <v>20</v>
      </c>
      <c r="D531" s="127" t="s">
        <v>707</v>
      </c>
      <c r="E531" s="130"/>
      <c r="F531" s="131">
        <v>1</v>
      </c>
      <c r="G531" s="127" t="s">
        <v>708</v>
      </c>
      <c r="H531" s="147" t="s">
        <v>1078</v>
      </c>
      <c r="I531" s="129">
        <v>11</v>
      </c>
      <c r="J531" s="130" t="s">
        <v>1079</v>
      </c>
      <c r="K531" s="43"/>
      <c r="L531" s="43"/>
    </row>
    <row r="532" spans="1:12" ht="113.25">
      <c r="A532" s="125">
        <v>2025</v>
      </c>
      <c r="B532" s="137" t="s">
        <v>1077</v>
      </c>
      <c r="C532" s="110">
        <v>40</v>
      </c>
      <c r="D532" s="130" t="s">
        <v>647</v>
      </c>
      <c r="E532" s="130"/>
      <c r="F532" s="131">
        <v>1</v>
      </c>
      <c r="G532" s="130" t="s">
        <v>588</v>
      </c>
      <c r="H532" s="147" t="s">
        <v>1078</v>
      </c>
      <c r="I532" s="129">
        <v>4</v>
      </c>
      <c r="J532" s="130" t="s">
        <v>1080</v>
      </c>
      <c r="K532" s="43"/>
      <c r="L532" s="43"/>
    </row>
    <row r="533" spans="1:12" ht="88.5">
      <c r="A533" s="125">
        <v>2025</v>
      </c>
      <c r="B533" s="137" t="s">
        <v>1081</v>
      </c>
      <c r="C533" s="110">
        <v>20</v>
      </c>
      <c r="D533" s="127" t="s">
        <v>707</v>
      </c>
      <c r="E533" s="130"/>
      <c r="F533" s="131">
        <v>1</v>
      </c>
      <c r="G533" s="127" t="s">
        <v>708</v>
      </c>
      <c r="H533" s="147" t="s">
        <v>1082</v>
      </c>
      <c r="I533" s="129">
        <v>12</v>
      </c>
      <c r="J533" s="130" t="s">
        <v>1083</v>
      </c>
      <c r="K533" s="43"/>
      <c r="L533" s="43"/>
    </row>
    <row r="534" spans="1:12" ht="88.5">
      <c r="A534" s="125">
        <v>2025</v>
      </c>
      <c r="B534" s="137" t="s">
        <v>1081</v>
      </c>
      <c r="C534" s="110">
        <v>40</v>
      </c>
      <c r="D534" s="130" t="s">
        <v>647</v>
      </c>
      <c r="E534" s="130"/>
      <c r="F534" s="131">
        <v>1</v>
      </c>
      <c r="G534" s="130" t="s">
        <v>588</v>
      </c>
      <c r="H534" s="147" t="s">
        <v>1082</v>
      </c>
      <c r="I534" s="129">
        <v>6</v>
      </c>
      <c r="J534" s="130" t="s">
        <v>1084</v>
      </c>
      <c r="K534" s="43"/>
      <c r="L534" s="43"/>
    </row>
    <row r="535" spans="1:12" ht="88.5">
      <c r="A535" s="125">
        <v>2025</v>
      </c>
      <c r="B535" s="137" t="s">
        <v>1085</v>
      </c>
      <c r="C535" s="110">
        <v>20</v>
      </c>
      <c r="D535" s="127" t="s">
        <v>707</v>
      </c>
      <c r="E535" s="130"/>
      <c r="F535" s="131">
        <v>1</v>
      </c>
      <c r="G535" s="127" t="s">
        <v>708</v>
      </c>
      <c r="H535" s="147" t="s">
        <v>1082</v>
      </c>
      <c r="I535" s="129">
        <v>12</v>
      </c>
      <c r="J535" s="130" t="s">
        <v>1083</v>
      </c>
      <c r="K535" s="43"/>
      <c r="L535" s="43"/>
    </row>
    <row r="536" spans="1:12" ht="88.5">
      <c r="A536" s="125">
        <v>2025</v>
      </c>
      <c r="B536" s="137" t="s">
        <v>1085</v>
      </c>
      <c r="C536" s="110">
        <v>40</v>
      </c>
      <c r="D536" s="130" t="s">
        <v>647</v>
      </c>
      <c r="E536" s="130"/>
      <c r="F536" s="131">
        <v>1</v>
      </c>
      <c r="G536" s="130" t="s">
        <v>588</v>
      </c>
      <c r="H536" s="147" t="s">
        <v>1082</v>
      </c>
      <c r="I536" s="129">
        <v>6</v>
      </c>
      <c r="J536" s="130" t="s">
        <v>1086</v>
      </c>
      <c r="K536" s="43"/>
      <c r="L536" s="43"/>
    </row>
    <row r="537" spans="1:12" ht="88.5">
      <c r="A537" s="125">
        <v>2025</v>
      </c>
      <c r="B537" s="137" t="s">
        <v>1087</v>
      </c>
      <c r="C537" s="110">
        <v>20</v>
      </c>
      <c r="D537" s="127" t="s">
        <v>707</v>
      </c>
      <c r="E537" s="130"/>
      <c r="F537" s="131">
        <v>1</v>
      </c>
      <c r="G537" s="127" t="s">
        <v>708</v>
      </c>
      <c r="H537" s="147" t="s">
        <v>1082</v>
      </c>
      <c r="I537" s="129">
        <v>12</v>
      </c>
      <c r="J537" s="130" t="s">
        <v>1083</v>
      </c>
      <c r="K537" s="43"/>
      <c r="L537" s="43"/>
    </row>
    <row r="538" spans="1:12" ht="88.5">
      <c r="A538" s="125">
        <v>2025</v>
      </c>
      <c r="B538" s="137" t="s">
        <v>1087</v>
      </c>
      <c r="C538" s="110">
        <v>40</v>
      </c>
      <c r="D538" s="130" t="s">
        <v>647</v>
      </c>
      <c r="E538" s="130"/>
      <c r="F538" s="131">
        <v>1</v>
      </c>
      <c r="G538" s="130" t="s">
        <v>588</v>
      </c>
      <c r="H538" s="147" t="s">
        <v>1082</v>
      </c>
      <c r="I538" s="129">
        <v>6</v>
      </c>
      <c r="J538" s="130" t="s">
        <v>1088</v>
      </c>
      <c r="K538" s="43"/>
      <c r="L538" s="43"/>
    </row>
    <row r="539" spans="1:12" ht="88.5">
      <c r="A539" s="125">
        <v>2025</v>
      </c>
      <c r="B539" s="137" t="s">
        <v>1089</v>
      </c>
      <c r="C539" s="110">
        <v>20</v>
      </c>
      <c r="D539" s="127" t="s">
        <v>707</v>
      </c>
      <c r="E539" s="130"/>
      <c r="F539" s="131">
        <v>1</v>
      </c>
      <c r="G539" s="127" t="s">
        <v>708</v>
      </c>
      <c r="H539" s="147" t="s">
        <v>1090</v>
      </c>
      <c r="I539" s="129">
        <v>12</v>
      </c>
      <c r="J539" s="130" t="s">
        <v>1091</v>
      </c>
      <c r="K539" s="43"/>
      <c r="L539" s="43"/>
    </row>
    <row r="540" spans="1:12" ht="88.5">
      <c r="A540" s="125">
        <v>2025</v>
      </c>
      <c r="B540" s="137" t="s">
        <v>1089</v>
      </c>
      <c r="C540" s="110">
        <v>40</v>
      </c>
      <c r="D540" s="130" t="s">
        <v>647</v>
      </c>
      <c r="E540" s="130"/>
      <c r="F540" s="131">
        <v>1</v>
      </c>
      <c r="G540" s="130" t="s">
        <v>588</v>
      </c>
      <c r="H540" s="147" t="s">
        <v>1090</v>
      </c>
      <c r="I540" s="129">
        <v>4</v>
      </c>
      <c r="J540" s="130" t="s">
        <v>1092</v>
      </c>
      <c r="K540" s="43"/>
      <c r="L540" s="43"/>
    </row>
    <row r="541" spans="1:12" ht="60.75">
      <c r="A541" s="125">
        <v>2025</v>
      </c>
      <c r="B541" s="137" t="s">
        <v>1093</v>
      </c>
      <c r="C541" s="110">
        <v>20</v>
      </c>
      <c r="D541" s="127" t="s">
        <v>707</v>
      </c>
      <c r="E541" s="130"/>
      <c r="F541" s="131">
        <v>1</v>
      </c>
      <c r="G541" s="127" t="s">
        <v>708</v>
      </c>
      <c r="H541" s="131" t="s">
        <v>626</v>
      </c>
      <c r="I541" s="129">
        <v>10</v>
      </c>
      <c r="J541" s="130" t="s">
        <v>1094</v>
      </c>
      <c r="K541" s="43"/>
      <c r="L541" s="43"/>
    </row>
    <row r="542" spans="1:12" ht="60.75">
      <c r="A542" s="125">
        <v>2025</v>
      </c>
      <c r="B542" s="126" t="s">
        <v>1093</v>
      </c>
      <c r="C542" s="110">
        <v>20</v>
      </c>
      <c r="D542" s="127" t="s">
        <v>707</v>
      </c>
      <c r="E542" s="127"/>
      <c r="F542" s="110">
        <v>2</v>
      </c>
      <c r="G542" s="127" t="s">
        <v>708</v>
      </c>
      <c r="H542" s="110" t="s">
        <v>632</v>
      </c>
      <c r="I542" s="111">
        <v>6</v>
      </c>
      <c r="J542" s="127" t="s">
        <v>1095</v>
      </c>
      <c r="K542" s="43"/>
      <c r="L542" s="43"/>
    </row>
    <row r="543" spans="1:12" ht="106.5">
      <c r="A543" s="125">
        <v>2025</v>
      </c>
      <c r="B543" s="137" t="s">
        <v>1096</v>
      </c>
      <c r="C543" s="110">
        <v>20</v>
      </c>
      <c r="D543" s="127" t="s">
        <v>707</v>
      </c>
      <c r="E543" s="130"/>
      <c r="F543" s="131">
        <v>1</v>
      </c>
      <c r="G543" s="127" t="s">
        <v>708</v>
      </c>
      <c r="H543" s="145" t="s">
        <v>1097</v>
      </c>
      <c r="I543" s="129">
        <v>13</v>
      </c>
      <c r="J543" s="130" t="s">
        <v>1098</v>
      </c>
      <c r="K543" s="43"/>
      <c r="L543" s="43"/>
    </row>
    <row r="544" spans="1:12" ht="91.5">
      <c r="A544" s="132">
        <v>2025</v>
      </c>
      <c r="B544" s="133" t="s">
        <v>1099</v>
      </c>
      <c r="C544" s="134">
        <v>0</v>
      </c>
      <c r="D544" s="135" t="s">
        <v>585</v>
      </c>
      <c r="E544" s="135" t="s">
        <v>1100</v>
      </c>
      <c r="F544" s="165">
        <v>0</v>
      </c>
      <c r="G544" s="126"/>
      <c r="H544" s="110"/>
      <c r="I544" s="111"/>
      <c r="J544" s="127"/>
      <c r="K544" s="43"/>
      <c r="L544" s="43"/>
    </row>
    <row r="545" spans="1:12" ht="60.75">
      <c r="A545" s="125">
        <v>2025</v>
      </c>
      <c r="B545" s="137" t="s">
        <v>1099</v>
      </c>
      <c r="C545" s="110">
        <v>20</v>
      </c>
      <c r="D545" s="127" t="s">
        <v>707</v>
      </c>
      <c r="E545" s="130"/>
      <c r="F545" s="131">
        <v>1</v>
      </c>
      <c r="G545" s="127" t="s">
        <v>708</v>
      </c>
      <c r="H545" s="131" t="s">
        <v>626</v>
      </c>
      <c r="I545" s="129">
        <v>5</v>
      </c>
      <c r="J545" s="130" t="s">
        <v>1101</v>
      </c>
      <c r="K545" s="43"/>
      <c r="L545" s="43"/>
    </row>
    <row r="546" spans="1:12" ht="60.75">
      <c r="A546" s="125">
        <v>2025</v>
      </c>
      <c r="B546" s="126" t="s">
        <v>1099</v>
      </c>
      <c r="C546" s="110">
        <v>20</v>
      </c>
      <c r="D546" s="127" t="s">
        <v>707</v>
      </c>
      <c r="E546" s="127"/>
      <c r="F546" s="110">
        <v>2</v>
      </c>
      <c r="G546" s="127" t="s">
        <v>708</v>
      </c>
      <c r="H546" s="110" t="s">
        <v>632</v>
      </c>
      <c r="I546" s="111">
        <v>7</v>
      </c>
      <c r="J546" s="127" t="s">
        <v>1102</v>
      </c>
      <c r="K546" s="43"/>
      <c r="L546" s="43"/>
    </row>
    <row r="547" spans="1:12" ht="60.75">
      <c r="A547" s="125">
        <v>2025</v>
      </c>
      <c r="B547" s="126" t="s">
        <v>1099</v>
      </c>
      <c r="C547" s="110">
        <v>20</v>
      </c>
      <c r="D547" s="127" t="s">
        <v>707</v>
      </c>
      <c r="E547" s="127"/>
      <c r="F547" s="110">
        <v>4</v>
      </c>
      <c r="G547" s="127" t="s">
        <v>708</v>
      </c>
      <c r="H547" s="110" t="s">
        <v>640</v>
      </c>
      <c r="I547" s="111">
        <v>3</v>
      </c>
      <c r="J547" s="127" t="s">
        <v>1103</v>
      </c>
      <c r="K547" s="43"/>
      <c r="L547" s="43"/>
    </row>
    <row r="548" spans="1:12" ht="60.75">
      <c r="A548" s="125">
        <v>2025</v>
      </c>
      <c r="B548" s="126" t="s">
        <v>1099</v>
      </c>
      <c r="C548" s="110">
        <v>20</v>
      </c>
      <c r="D548" s="127" t="s">
        <v>707</v>
      </c>
      <c r="E548" s="127"/>
      <c r="F548" s="110">
        <v>5</v>
      </c>
      <c r="G548" s="127" t="s">
        <v>708</v>
      </c>
      <c r="H548" s="110" t="s">
        <v>644</v>
      </c>
      <c r="I548" s="111">
        <v>3</v>
      </c>
      <c r="J548" s="127" t="s">
        <v>1104</v>
      </c>
      <c r="K548" s="43"/>
      <c r="L548" s="43"/>
    </row>
    <row r="549" spans="1:12" ht="88.5">
      <c r="A549" s="125">
        <v>2025</v>
      </c>
      <c r="B549" s="126" t="s">
        <v>1105</v>
      </c>
      <c r="C549" s="110">
        <v>20</v>
      </c>
      <c r="D549" s="127" t="s">
        <v>707</v>
      </c>
      <c r="E549" s="127"/>
      <c r="F549" s="110">
        <v>1</v>
      </c>
      <c r="G549" s="127" t="s">
        <v>708</v>
      </c>
      <c r="H549" s="147" t="s">
        <v>1106</v>
      </c>
      <c r="I549" s="111">
        <v>16</v>
      </c>
      <c r="J549" s="127" t="s">
        <v>1107</v>
      </c>
      <c r="K549" s="43"/>
      <c r="L549" s="43"/>
    </row>
    <row r="550" spans="1:12" ht="88.5">
      <c r="A550" s="125">
        <v>2025</v>
      </c>
      <c r="B550" s="126" t="s">
        <v>1108</v>
      </c>
      <c r="C550" s="110">
        <v>20</v>
      </c>
      <c r="D550" s="127" t="s">
        <v>707</v>
      </c>
      <c r="E550" s="127"/>
      <c r="F550" s="110">
        <v>1</v>
      </c>
      <c r="G550" s="127" t="s">
        <v>708</v>
      </c>
      <c r="H550" s="147" t="s">
        <v>1090</v>
      </c>
      <c r="I550" s="111">
        <v>16</v>
      </c>
      <c r="J550" s="127" t="s">
        <v>1109</v>
      </c>
      <c r="K550" s="43"/>
      <c r="L550" s="43"/>
    </row>
    <row r="551" spans="1:12" ht="113.25">
      <c r="A551" s="125">
        <v>2025</v>
      </c>
      <c r="B551" s="126" t="s">
        <v>1110</v>
      </c>
      <c r="C551" s="110">
        <v>1</v>
      </c>
      <c r="D551" s="127" t="s">
        <v>587</v>
      </c>
      <c r="E551" s="127"/>
      <c r="F551" s="110">
        <v>1</v>
      </c>
      <c r="G551" s="126" t="s">
        <v>588</v>
      </c>
      <c r="H551" s="147" t="s">
        <v>1013</v>
      </c>
      <c r="I551" s="111">
        <v>1</v>
      </c>
      <c r="J551" s="126" t="s">
        <v>589</v>
      </c>
      <c r="K551" s="43"/>
      <c r="L551" s="43"/>
    </row>
    <row r="552" spans="1:12" ht="113.25">
      <c r="A552" s="125">
        <v>2025</v>
      </c>
      <c r="B552" s="126" t="s">
        <v>1110</v>
      </c>
      <c r="C552" s="110">
        <v>2</v>
      </c>
      <c r="D552" s="127" t="s">
        <v>590</v>
      </c>
      <c r="E552" s="127"/>
      <c r="F552" s="110">
        <v>1</v>
      </c>
      <c r="G552" s="126" t="s">
        <v>588</v>
      </c>
      <c r="H552" s="147" t="s">
        <v>1013</v>
      </c>
      <c r="I552" s="111">
        <v>6</v>
      </c>
      <c r="J552" s="127" t="s">
        <v>755</v>
      </c>
      <c r="K552" s="43"/>
      <c r="L552" s="43"/>
    </row>
    <row r="553" spans="1:12" ht="113.25">
      <c r="A553" s="125">
        <v>2025</v>
      </c>
      <c r="B553" s="126" t="s">
        <v>1110</v>
      </c>
      <c r="C553" s="110">
        <v>2</v>
      </c>
      <c r="D553" s="127" t="s">
        <v>590</v>
      </c>
      <c r="E553" s="127"/>
      <c r="F553" s="110">
        <v>2</v>
      </c>
      <c r="G553" s="126" t="s">
        <v>620</v>
      </c>
      <c r="H553" s="147" t="s">
        <v>1013</v>
      </c>
      <c r="I553" s="111">
        <v>3</v>
      </c>
      <c r="J553" s="127" t="s">
        <v>738</v>
      </c>
      <c r="K553" s="43"/>
      <c r="L553" s="43"/>
    </row>
    <row r="554" spans="1:12" ht="113.25">
      <c r="A554" s="125">
        <v>2025</v>
      </c>
      <c r="B554" s="126" t="s">
        <v>1110</v>
      </c>
      <c r="C554" s="110">
        <v>20</v>
      </c>
      <c r="D554" s="127" t="s">
        <v>707</v>
      </c>
      <c r="E554" s="127"/>
      <c r="F554" s="110">
        <v>1</v>
      </c>
      <c r="G554" s="127" t="s">
        <v>708</v>
      </c>
      <c r="H554" s="147" t="s">
        <v>1013</v>
      </c>
      <c r="I554" s="111">
        <v>18</v>
      </c>
      <c r="J554" s="127" t="s">
        <v>1111</v>
      </c>
      <c r="K554" s="43"/>
      <c r="L554" s="43"/>
    </row>
    <row r="555" spans="1:12" ht="113.25">
      <c r="A555" s="125">
        <v>2025</v>
      </c>
      <c r="B555" s="126" t="s">
        <v>1110</v>
      </c>
      <c r="C555" s="110">
        <v>30</v>
      </c>
      <c r="D555" s="127" t="s">
        <v>713</v>
      </c>
      <c r="E555" s="127"/>
      <c r="F555" s="110">
        <v>1</v>
      </c>
      <c r="G555" s="126" t="s">
        <v>588</v>
      </c>
      <c r="H555" s="147" t="s">
        <v>1013</v>
      </c>
      <c r="I555" s="111">
        <v>18</v>
      </c>
      <c r="J555" s="127" t="s">
        <v>1112</v>
      </c>
      <c r="K555" s="43"/>
      <c r="L555" s="43"/>
    </row>
    <row r="556" spans="1:12" ht="113.25">
      <c r="A556" s="125">
        <v>2025</v>
      </c>
      <c r="B556" s="126" t="s">
        <v>1113</v>
      </c>
      <c r="C556" s="110">
        <v>1</v>
      </c>
      <c r="D556" s="127" t="s">
        <v>587</v>
      </c>
      <c r="E556" s="127"/>
      <c r="F556" s="110">
        <v>1</v>
      </c>
      <c r="G556" s="126" t="s">
        <v>588</v>
      </c>
      <c r="H556" s="147" t="s">
        <v>1019</v>
      </c>
      <c r="I556" s="111">
        <v>1</v>
      </c>
      <c r="J556" s="126" t="s">
        <v>589</v>
      </c>
      <c r="K556" s="43"/>
      <c r="L556" s="43"/>
    </row>
    <row r="557" spans="1:12" ht="113.25">
      <c r="A557" s="125">
        <v>2025</v>
      </c>
      <c r="B557" s="126" t="s">
        <v>1113</v>
      </c>
      <c r="C557" s="110">
        <v>2</v>
      </c>
      <c r="D557" s="127" t="s">
        <v>590</v>
      </c>
      <c r="E557" s="127"/>
      <c r="F557" s="110">
        <v>1</v>
      </c>
      <c r="G557" s="126" t="s">
        <v>588</v>
      </c>
      <c r="H557" s="147" t="s">
        <v>1019</v>
      </c>
      <c r="I557" s="111">
        <v>6</v>
      </c>
      <c r="J557" s="127" t="s">
        <v>755</v>
      </c>
      <c r="K557" s="43"/>
      <c r="L557" s="43"/>
    </row>
    <row r="558" spans="1:12" ht="113.25">
      <c r="A558" s="125">
        <v>2025</v>
      </c>
      <c r="B558" s="126" t="s">
        <v>1113</v>
      </c>
      <c r="C558" s="110">
        <v>2</v>
      </c>
      <c r="D558" s="127" t="s">
        <v>590</v>
      </c>
      <c r="E558" s="127"/>
      <c r="F558" s="110">
        <v>2</v>
      </c>
      <c r="G558" s="126" t="s">
        <v>620</v>
      </c>
      <c r="H558" s="147" t="s">
        <v>1019</v>
      </c>
      <c r="I558" s="111">
        <v>3</v>
      </c>
      <c r="J558" s="127" t="s">
        <v>738</v>
      </c>
      <c r="K558" s="43"/>
      <c r="L558" s="43"/>
    </row>
    <row r="559" spans="1:12" ht="113.25">
      <c r="A559" s="125">
        <v>2025</v>
      </c>
      <c r="B559" s="126" t="s">
        <v>1113</v>
      </c>
      <c r="C559" s="110">
        <v>20</v>
      </c>
      <c r="D559" s="127" t="s">
        <v>707</v>
      </c>
      <c r="E559" s="127"/>
      <c r="F559" s="110">
        <v>1</v>
      </c>
      <c r="G559" s="127" t="s">
        <v>708</v>
      </c>
      <c r="H559" s="147" t="s">
        <v>1019</v>
      </c>
      <c r="I559" s="111">
        <v>18</v>
      </c>
      <c r="J559" s="127" t="s">
        <v>1114</v>
      </c>
      <c r="K559" s="43"/>
      <c r="L559" s="43"/>
    </row>
    <row r="560" spans="1:12" ht="113.25">
      <c r="A560" s="125">
        <v>2025</v>
      </c>
      <c r="B560" s="126" t="s">
        <v>1113</v>
      </c>
      <c r="C560" s="110">
        <v>30</v>
      </c>
      <c r="D560" s="127" t="s">
        <v>713</v>
      </c>
      <c r="E560" s="127"/>
      <c r="F560" s="110">
        <v>1</v>
      </c>
      <c r="G560" s="126" t="s">
        <v>588</v>
      </c>
      <c r="H560" s="147" t="s">
        <v>1019</v>
      </c>
      <c r="I560" s="111">
        <v>18</v>
      </c>
      <c r="J560" s="127" t="s">
        <v>1115</v>
      </c>
      <c r="K560" s="43"/>
      <c r="L560" s="43"/>
    </row>
    <row r="561" spans="1:12" ht="113.25">
      <c r="A561" s="125">
        <v>2025</v>
      </c>
      <c r="B561" s="126" t="s">
        <v>1116</v>
      </c>
      <c r="C561" s="110">
        <v>1</v>
      </c>
      <c r="D561" s="127" t="s">
        <v>587</v>
      </c>
      <c r="E561" s="127"/>
      <c r="F561" s="110">
        <v>1</v>
      </c>
      <c r="G561" s="126" t="s">
        <v>588</v>
      </c>
      <c r="H561" s="147" t="s">
        <v>1026</v>
      </c>
      <c r="I561" s="111">
        <v>1</v>
      </c>
      <c r="J561" s="126" t="s">
        <v>589</v>
      </c>
      <c r="K561" s="43"/>
      <c r="L561" s="43"/>
    </row>
    <row r="562" spans="1:12" ht="113.25">
      <c r="A562" s="125">
        <v>2025</v>
      </c>
      <c r="B562" s="126" t="s">
        <v>1116</v>
      </c>
      <c r="C562" s="110">
        <v>2</v>
      </c>
      <c r="D562" s="127" t="s">
        <v>590</v>
      </c>
      <c r="E562" s="127"/>
      <c r="F562" s="110">
        <v>1</v>
      </c>
      <c r="G562" s="126" t="s">
        <v>588</v>
      </c>
      <c r="H562" s="147" t="s">
        <v>1026</v>
      </c>
      <c r="I562" s="111">
        <v>6</v>
      </c>
      <c r="J562" s="127" t="s">
        <v>755</v>
      </c>
      <c r="K562" s="43"/>
      <c r="L562" s="43"/>
    </row>
    <row r="563" spans="1:12" ht="113.25">
      <c r="A563" s="125">
        <v>2025</v>
      </c>
      <c r="B563" s="126" t="s">
        <v>1116</v>
      </c>
      <c r="C563" s="110">
        <v>2</v>
      </c>
      <c r="D563" s="127" t="s">
        <v>590</v>
      </c>
      <c r="E563" s="127"/>
      <c r="F563" s="110">
        <v>2</v>
      </c>
      <c r="G563" s="126" t="s">
        <v>620</v>
      </c>
      <c r="H563" s="147" t="s">
        <v>1026</v>
      </c>
      <c r="I563" s="111">
        <v>3</v>
      </c>
      <c r="J563" s="127" t="s">
        <v>738</v>
      </c>
      <c r="K563" s="43"/>
      <c r="L563" s="43"/>
    </row>
    <row r="564" spans="1:12" ht="113.25">
      <c r="A564" s="125">
        <v>2025</v>
      </c>
      <c r="B564" s="126" t="s">
        <v>1116</v>
      </c>
      <c r="C564" s="110">
        <v>20</v>
      </c>
      <c r="D564" s="127" t="s">
        <v>707</v>
      </c>
      <c r="E564" s="127"/>
      <c r="F564" s="110">
        <v>1</v>
      </c>
      <c r="G564" s="127" t="s">
        <v>708</v>
      </c>
      <c r="H564" s="147" t="s">
        <v>1026</v>
      </c>
      <c r="I564" s="111">
        <v>18</v>
      </c>
      <c r="J564" s="127" t="s">
        <v>1117</v>
      </c>
      <c r="K564" s="43"/>
      <c r="L564" s="43"/>
    </row>
    <row r="565" spans="1:12" ht="113.25">
      <c r="A565" s="125">
        <v>2025</v>
      </c>
      <c r="B565" s="126" t="s">
        <v>1116</v>
      </c>
      <c r="C565" s="110">
        <v>30</v>
      </c>
      <c r="D565" s="127" t="s">
        <v>713</v>
      </c>
      <c r="E565" s="127"/>
      <c r="F565" s="110">
        <v>1</v>
      </c>
      <c r="G565" s="126" t="s">
        <v>588</v>
      </c>
      <c r="H565" s="147" t="s">
        <v>1026</v>
      </c>
      <c r="I565" s="111">
        <v>18</v>
      </c>
      <c r="J565" s="127" t="s">
        <v>1118</v>
      </c>
      <c r="K565" s="43"/>
      <c r="L565" s="43"/>
    </row>
    <row r="566" spans="1:12" ht="113.25">
      <c r="A566" s="125">
        <v>2025</v>
      </c>
      <c r="B566" s="126" t="s">
        <v>1119</v>
      </c>
      <c r="C566" s="110">
        <v>1</v>
      </c>
      <c r="D566" s="127" t="s">
        <v>587</v>
      </c>
      <c r="E566" s="127"/>
      <c r="F566" s="110">
        <v>1</v>
      </c>
      <c r="G566" s="126" t="s">
        <v>588</v>
      </c>
      <c r="H566" s="147" t="s">
        <v>1120</v>
      </c>
      <c r="I566" s="111">
        <v>1</v>
      </c>
      <c r="J566" s="126" t="s">
        <v>589</v>
      </c>
      <c r="K566" s="43"/>
      <c r="L566" s="43"/>
    </row>
    <row r="567" spans="1:12" ht="113.25">
      <c r="A567" s="125">
        <v>2025</v>
      </c>
      <c r="B567" s="126" t="s">
        <v>1119</v>
      </c>
      <c r="C567" s="110">
        <v>2</v>
      </c>
      <c r="D567" s="127" t="s">
        <v>590</v>
      </c>
      <c r="E567" s="127"/>
      <c r="F567" s="110">
        <v>1</v>
      </c>
      <c r="G567" s="126" t="s">
        <v>588</v>
      </c>
      <c r="H567" s="147" t="s">
        <v>1120</v>
      </c>
      <c r="I567" s="111">
        <v>6</v>
      </c>
      <c r="J567" s="127" t="s">
        <v>755</v>
      </c>
      <c r="K567" s="43"/>
      <c r="L567" s="43"/>
    </row>
    <row r="568" spans="1:12" ht="113.25">
      <c r="A568" s="125">
        <v>2025</v>
      </c>
      <c r="B568" s="126" t="s">
        <v>1119</v>
      </c>
      <c r="C568" s="110">
        <v>2</v>
      </c>
      <c r="D568" s="127" t="s">
        <v>590</v>
      </c>
      <c r="E568" s="127"/>
      <c r="F568" s="110">
        <v>2</v>
      </c>
      <c r="G568" s="126" t="s">
        <v>620</v>
      </c>
      <c r="H568" s="147" t="s">
        <v>1120</v>
      </c>
      <c r="I568" s="111">
        <v>3</v>
      </c>
      <c r="J568" s="127" t="s">
        <v>738</v>
      </c>
      <c r="K568" s="43"/>
      <c r="L568" s="43"/>
    </row>
    <row r="569" spans="1:12" ht="113.25">
      <c r="A569" s="125">
        <v>2025</v>
      </c>
      <c r="B569" s="126" t="s">
        <v>1119</v>
      </c>
      <c r="C569" s="110">
        <v>20</v>
      </c>
      <c r="D569" s="127" t="s">
        <v>707</v>
      </c>
      <c r="E569" s="127"/>
      <c r="F569" s="110">
        <v>1</v>
      </c>
      <c r="G569" s="127" t="s">
        <v>708</v>
      </c>
      <c r="H569" s="147" t="s">
        <v>1120</v>
      </c>
      <c r="I569" s="111">
        <v>18</v>
      </c>
      <c r="J569" s="127" t="s">
        <v>1121</v>
      </c>
      <c r="K569" s="43"/>
      <c r="L569" s="43"/>
    </row>
    <row r="570" spans="1:12" ht="113.25">
      <c r="A570" s="125">
        <v>2025</v>
      </c>
      <c r="B570" s="126" t="s">
        <v>1119</v>
      </c>
      <c r="C570" s="110">
        <v>30</v>
      </c>
      <c r="D570" s="127" t="s">
        <v>713</v>
      </c>
      <c r="E570" s="127"/>
      <c r="F570" s="110">
        <v>1</v>
      </c>
      <c r="G570" s="126" t="s">
        <v>588</v>
      </c>
      <c r="H570" s="147" t="s">
        <v>1120</v>
      </c>
      <c r="I570" s="111">
        <v>18</v>
      </c>
      <c r="J570" s="127" t="s">
        <v>1122</v>
      </c>
      <c r="K570" s="43"/>
      <c r="L570" s="43"/>
    </row>
    <row r="571" spans="1:12" ht="137.25">
      <c r="A571" s="125">
        <v>2025</v>
      </c>
      <c r="B571" s="126" t="s">
        <v>1123</v>
      </c>
      <c r="C571" s="110">
        <v>1</v>
      </c>
      <c r="D571" s="127" t="s">
        <v>587</v>
      </c>
      <c r="E571" s="127"/>
      <c r="F571" s="110">
        <v>1</v>
      </c>
      <c r="G571" s="126" t="s">
        <v>588</v>
      </c>
      <c r="H571" s="145" t="s">
        <v>1051</v>
      </c>
      <c r="I571" s="111">
        <v>1</v>
      </c>
      <c r="J571" s="126" t="s">
        <v>589</v>
      </c>
      <c r="K571" s="43"/>
      <c r="L571" s="43"/>
    </row>
    <row r="572" spans="1:12" ht="137.25">
      <c r="A572" s="125">
        <v>2025</v>
      </c>
      <c r="B572" s="126" t="s">
        <v>1123</v>
      </c>
      <c r="C572" s="110">
        <v>2</v>
      </c>
      <c r="D572" s="127" t="s">
        <v>590</v>
      </c>
      <c r="E572" s="127"/>
      <c r="F572" s="110">
        <v>1</v>
      </c>
      <c r="G572" s="126" t="s">
        <v>588</v>
      </c>
      <c r="H572" s="145" t="s">
        <v>1051</v>
      </c>
      <c r="I572" s="111">
        <v>3</v>
      </c>
      <c r="J572" s="127" t="s">
        <v>1124</v>
      </c>
      <c r="K572" s="43"/>
      <c r="L572" s="43"/>
    </row>
    <row r="573" spans="1:12" ht="137.25">
      <c r="A573" s="125">
        <v>2025</v>
      </c>
      <c r="B573" s="126" t="s">
        <v>1123</v>
      </c>
      <c r="C573" s="110">
        <v>12</v>
      </c>
      <c r="D573" s="127" t="s">
        <v>602</v>
      </c>
      <c r="E573" s="127"/>
      <c r="F573" s="110">
        <v>4</v>
      </c>
      <c r="G573" s="126" t="s">
        <v>620</v>
      </c>
      <c r="H573" s="145" t="s">
        <v>1051</v>
      </c>
      <c r="I573" s="111">
        <v>3</v>
      </c>
      <c r="J573" s="127" t="s">
        <v>800</v>
      </c>
      <c r="K573" s="43"/>
      <c r="L573" s="43"/>
    </row>
    <row r="574" spans="1:12" ht="137.25">
      <c r="A574" s="125">
        <v>2025</v>
      </c>
      <c r="B574" s="126" t="s">
        <v>1123</v>
      </c>
      <c r="C574" s="110">
        <v>20</v>
      </c>
      <c r="D574" s="127" t="s">
        <v>707</v>
      </c>
      <c r="E574" s="127"/>
      <c r="F574" s="110">
        <v>1</v>
      </c>
      <c r="G574" s="127" t="s">
        <v>708</v>
      </c>
      <c r="H574" s="145" t="s">
        <v>1051</v>
      </c>
      <c r="I574" s="111">
        <v>20</v>
      </c>
      <c r="J574" s="127" t="s">
        <v>1125</v>
      </c>
      <c r="K574" s="43"/>
      <c r="L574" s="43"/>
    </row>
    <row r="575" spans="1:12" ht="137.25">
      <c r="A575" s="125">
        <v>2025</v>
      </c>
      <c r="B575" s="126" t="s">
        <v>1123</v>
      </c>
      <c r="C575" s="110">
        <v>30</v>
      </c>
      <c r="D575" s="127" t="s">
        <v>713</v>
      </c>
      <c r="E575" s="127"/>
      <c r="F575" s="110">
        <v>1</v>
      </c>
      <c r="G575" s="126" t="s">
        <v>588</v>
      </c>
      <c r="H575" s="145" t="s">
        <v>1051</v>
      </c>
      <c r="I575" s="111">
        <v>7</v>
      </c>
      <c r="J575" s="127" t="s">
        <v>1126</v>
      </c>
      <c r="K575" s="43"/>
      <c r="L575" s="43"/>
    </row>
    <row r="576" spans="1:12" ht="137.25">
      <c r="A576" s="125">
        <v>2025</v>
      </c>
      <c r="B576" s="126" t="s">
        <v>1123</v>
      </c>
      <c r="C576" s="110">
        <v>30</v>
      </c>
      <c r="D576" s="127" t="s">
        <v>713</v>
      </c>
      <c r="E576" s="127"/>
      <c r="F576" s="110">
        <v>2</v>
      </c>
      <c r="G576" s="126" t="s">
        <v>620</v>
      </c>
      <c r="H576" s="145" t="s">
        <v>1051</v>
      </c>
      <c r="I576" s="111">
        <v>3</v>
      </c>
      <c r="J576" s="127" t="s">
        <v>799</v>
      </c>
      <c r="K576" s="43"/>
      <c r="L576" s="43"/>
    </row>
    <row r="577" spans="1:12" ht="60.75">
      <c r="A577" s="125">
        <v>2025</v>
      </c>
      <c r="B577" s="126" t="s">
        <v>1127</v>
      </c>
      <c r="C577" s="110">
        <v>2</v>
      </c>
      <c r="D577" s="127" t="s">
        <v>590</v>
      </c>
      <c r="E577" s="127"/>
      <c r="F577" s="110">
        <v>1</v>
      </c>
      <c r="G577" s="127" t="s">
        <v>708</v>
      </c>
      <c r="H577" s="110" t="s">
        <v>626</v>
      </c>
      <c r="I577" s="111">
        <v>3</v>
      </c>
      <c r="J577" s="127" t="s">
        <v>630</v>
      </c>
      <c r="K577" s="43"/>
      <c r="L577" s="43"/>
    </row>
    <row r="578" spans="1:12" ht="60.75">
      <c r="A578" s="125">
        <v>2025</v>
      </c>
      <c r="B578" s="126" t="s">
        <v>1127</v>
      </c>
      <c r="C578" s="110">
        <v>20</v>
      </c>
      <c r="D578" s="127" t="s">
        <v>707</v>
      </c>
      <c r="E578" s="127"/>
      <c r="F578" s="110">
        <v>1</v>
      </c>
      <c r="G578" s="127" t="s">
        <v>857</v>
      </c>
      <c r="H578" s="110" t="s">
        <v>626</v>
      </c>
      <c r="I578" s="111">
        <v>11</v>
      </c>
      <c r="J578" s="127" t="s">
        <v>1128</v>
      </c>
      <c r="K578" s="43"/>
      <c r="L578" s="43"/>
    </row>
    <row r="579" spans="1:12" ht="60.75">
      <c r="A579" s="125">
        <v>2025</v>
      </c>
      <c r="B579" s="126" t="s">
        <v>1127</v>
      </c>
      <c r="C579" s="110">
        <v>30</v>
      </c>
      <c r="D579" s="127" t="s">
        <v>713</v>
      </c>
      <c r="E579" s="127"/>
      <c r="F579" s="110">
        <v>1</v>
      </c>
      <c r="G579" s="127" t="s">
        <v>857</v>
      </c>
      <c r="H579" s="110" t="s">
        <v>626</v>
      </c>
      <c r="I579" s="111">
        <v>4</v>
      </c>
      <c r="J579" s="127" t="s">
        <v>1129</v>
      </c>
      <c r="K579" s="43"/>
      <c r="L579" s="43"/>
    </row>
    <row r="580" spans="1:12" ht="60.75">
      <c r="A580" s="125">
        <v>2025</v>
      </c>
      <c r="B580" s="126" t="s">
        <v>1127</v>
      </c>
      <c r="C580" s="110">
        <v>2</v>
      </c>
      <c r="D580" s="127" t="s">
        <v>590</v>
      </c>
      <c r="E580" s="127"/>
      <c r="F580" s="110">
        <v>2</v>
      </c>
      <c r="G580" s="127" t="s">
        <v>708</v>
      </c>
      <c r="H580" s="110" t="s">
        <v>632</v>
      </c>
      <c r="I580" s="111">
        <v>3</v>
      </c>
      <c r="J580" s="127" t="s">
        <v>628</v>
      </c>
      <c r="K580" s="43"/>
      <c r="L580" s="43"/>
    </row>
    <row r="581" spans="1:12" ht="60.75">
      <c r="A581" s="125">
        <v>2025</v>
      </c>
      <c r="B581" s="126" t="s">
        <v>1127</v>
      </c>
      <c r="C581" s="110">
        <v>20</v>
      </c>
      <c r="D581" s="127" t="s">
        <v>707</v>
      </c>
      <c r="E581" s="127"/>
      <c r="F581" s="110">
        <v>2</v>
      </c>
      <c r="G581" s="127" t="s">
        <v>857</v>
      </c>
      <c r="H581" s="110" t="s">
        <v>632</v>
      </c>
      <c r="I581" s="111">
        <v>10</v>
      </c>
      <c r="J581" s="127" t="s">
        <v>1130</v>
      </c>
      <c r="K581" s="43"/>
      <c r="L581" s="43"/>
    </row>
    <row r="582" spans="1:12" ht="60.75">
      <c r="A582" s="125">
        <v>2025</v>
      </c>
      <c r="B582" s="126" t="s">
        <v>1127</v>
      </c>
      <c r="C582" s="110">
        <v>30</v>
      </c>
      <c r="D582" s="127" t="s">
        <v>713</v>
      </c>
      <c r="E582" s="127"/>
      <c r="F582" s="110">
        <v>2</v>
      </c>
      <c r="G582" s="127" t="s">
        <v>857</v>
      </c>
      <c r="H582" s="110" t="s">
        <v>632</v>
      </c>
      <c r="I582" s="111">
        <v>4</v>
      </c>
      <c r="J582" s="127" t="s">
        <v>1131</v>
      </c>
      <c r="K582" s="43"/>
      <c r="L582" s="43"/>
    </row>
    <row r="583" spans="1:12" ht="60.75">
      <c r="A583" s="125">
        <v>2025</v>
      </c>
      <c r="B583" s="126" t="s">
        <v>1127</v>
      </c>
      <c r="C583" s="110">
        <v>20</v>
      </c>
      <c r="D583" s="127" t="s">
        <v>707</v>
      </c>
      <c r="E583" s="127"/>
      <c r="F583" s="110">
        <v>3</v>
      </c>
      <c r="G583" s="127" t="s">
        <v>857</v>
      </c>
      <c r="H583" s="110" t="s">
        <v>754</v>
      </c>
      <c r="I583" s="111">
        <v>9</v>
      </c>
      <c r="J583" s="127" t="s">
        <v>1132</v>
      </c>
      <c r="K583" s="43"/>
      <c r="L583" s="43"/>
    </row>
    <row r="584" spans="1:12" ht="113.25">
      <c r="A584" s="125">
        <v>2025</v>
      </c>
      <c r="B584" s="126" t="s">
        <v>1133</v>
      </c>
      <c r="C584" s="110">
        <v>1</v>
      </c>
      <c r="D584" s="127" t="s">
        <v>587</v>
      </c>
      <c r="E584" s="127"/>
      <c r="F584" s="110">
        <v>1</v>
      </c>
      <c r="G584" s="126" t="s">
        <v>588</v>
      </c>
      <c r="H584" s="147" t="s">
        <v>1078</v>
      </c>
      <c r="I584" s="111">
        <v>1</v>
      </c>
      <c r="J584" s="126" t="s">
        <v>589</v>
      </c>
      <c r="K584" s="43"/>
      <c r="L584" s="43"/>
    </row>
    <row r="585" spans="1:12" ht="113.25">
      <c r="A585" s="125">
        <v>2025</v>
      </c>
      <c r="B585" s="126" t="s">
        <v>1133</v>
      </c>
      <c r="C585" s="110">
        <v>2</v>
      </c>
      <c r="D585" s="127" t="s">
        <v>590</v>
      </c>
      <c r="E585" s="127"/>
      <c r="F585" s="110">
        <v>1</v>
      </c>
      <c r="G585" s="126" t="s">
        <v>588</v>
      </c>
      <c r="H585" s="147" t="s">
        <v>1078</v>
      </c>
      <c r="I585" s="111">
        <v>7</v>
      </c>
      <c r="J585" s="127" t="s">
        <v>808</v>
      </c>
      <c r="K585" s="43"/>
      <c r="L585" s="43"/>
    </row>
    <row r="586" spans="1:12" ht="113.25">
      <c r="A586" s="125">
        <v>2025</v>
      </c>
      <c r="B586" s="126" t="s">
        <v>1133</v>
      </c>
      <c r="C586" s="110">
        <v>8</v>
      </c>
      <c r="D586" s="127" t="s">
        <v>634</v>
      </c>
      <c r="E586" s="127"/>
      <c r="F586" s="110">
        <v>1</v>
      </c>
      <c r="G586" s="127" t="s">
        <v>710</v>
      </c>
      <c r="H586" s="147" t="s">
        <v>1078</v>
      </c>
      <c r="I586" s="111">
        <v>3</v>
      </c>
      <c r="J586" s="127" t="s">
        <v>711</v>
      </c>
      <c r="K586" s="43"/>
      <c r="L586" s="43"/>
    </row>
    <row r="587" spans="1:12" ht="113.25">
      <c r="A587" s="125">
        <v>2025</v>
      </c>
      <c r="B587" s="126" t="s">
        <v>1133</v>
      </c>
      <c r="C587" s="110">
        <v>20</v>
      </c>
      <c r="D587" s="127" t="s">
        <v>707</v>
      </c>
      <c r="E587" s="127"/>
      <c r="F587" s="110">
        <v>1</v>
      </c>
      <c r="G587" s="127" t="s">
        <v>708</v>
      </c>
      <c r="H587" s="147" t="s">
        <v>1078</v>
      </c>
      <c r="I587" s="111">
        <v>17</v>
      </c>
      <c r="J587" s="127" t="s">
        <v>1134</v>
      </c>
      <c r="K587" s="43"/>
      <c r="L587" s="43"/>
    </row>
    <row r="588" spans="1:12" ht="113.25">
      <c r="A588" s="125">
        <v>2025</v>
      </c>
      <c r="B588" s="126" t="s">
        <v>1133</v>
      </c>
      <c r="C588" s="110">
        <v>30</v>
      </c>
      <c r="D588" s="127" t="s">
        <v>713</v>
      </c>
      <c r="E588" s="127"/>
      <c r="F588" s="110">
        <v>1</v>
      </c>
      <c r="G588" s="126" t="s">
        <v>588</v>
      </c>
      <c r="H588" s="147" t="s">
        <v>1078</v>
      </c>
      <c r="I588" s="111">
        <v>2</v>
      </c>
      <c r="J588" s="127" t="s">
        <v>1135</v>
      </c>
      <c r="K588" s="43"/>
      <c r="L588" s="43"/>
    </row>
    <row r="589" spans="1:12" ht="113.25">
      <c r="A589" s="125">
        <v>2025</v>
      </c>
      <c r="B589" s="126" t="s">
        <v>1133</v>
      </c>
      <c r="C589" s="110">
        <v>30</v>
      </c>
      <c r="D589" s="127" t="s">
        <v>713</v>
      </c>
      <c r="E589" s="127"/>
      <c r="F589" s="110">
        <v>2</v>
      </c>
      <c r="G589" s="126" t="s">
        <v>620</v>
      </c>
      <c r="H589" s="147" t="s">
        <v>1078</v>
      </c>
      <c r="I589" s="111" t="s">
        <v>818</v>
      </c>
      <c r="J589" s="127" t="s">
        <v>819</v>
      </c>
      <c r="K589" s="43"/>
      <c r="L589" s="43"/>
    </row>
    <row r="590" spans="1:12" ht="113.25">
      <c r="A590" s="125">
        <v>2025</v>
      </c>
      <c r="B590" s="126" t="s">
        <v>1133</v>
      </c>
      <c r="C590" s="110">
        <v>30</v>
      </c>
      <c r="D590" s="127" t="s">
        <v>713</v>
      </c>
      <c r="E590" s="127"/>
      <c r="F590" s="110">
        <v>3</v>
      </c>
      <c r="G590" s="126" t="s">
        <v>620</v>
      </c>
      <c r="H590" s="147" t="s">
        <v>1078</v>
      </c>
      <c r="I590" s="111" t="s">
        <v>604</v>
      </c>
      <c r="J590" s="127" t="s">
        <v>942</v>
      </c>
      <c r="K590" s="43"/>
      <c r="L590" s="43"/>
    </row>
    <row r="591" spans="1:12" ht="88.5">
      <c r="A591" s="125">
        <v>2025</v>
      </c>
      <c r="B591" s="126" t="s">
        <v>1136</v>
      </c>
      <c r="C591" s="110">
        <v>2</v>
      </c>
      <c r="D591" s="127" t="s">
        <v>590</v>
      </c>
      <c r="E591" s="127"/>
      <c r="F591" s="110">
        <v>1</v>
      </c>
      <c r="G591" s="126" t="s">
        <v>588</v>
      </c>
      <c r="H591" s="147" t="s">
        <v>1082</v>
      </c>
      <c r="I591" s="111">
        <v>6</v>
      </c>
      <c r="J591" s="127" t="s">
        <v>595</v>
      </c>
      <c r="K591" s="43"/>
      <c r="L591" s="43"/>
    </row>
    <row r="592" spans="1:12" ht="88.5">
      <c r="A592" s="125">
        <v>2025</v>
      </c>
      <c r="B592" s="126" t="s">
        <v>1136</v>
      </c>
      <c r="C592" s="110">
        <v>12</v>
      </c>
      <c r="D592" s="127" t="s">
        <v>602</v>
      </c>
      <c r="E592" s="127"/>
      <c r="F592" s="110">
        <v>1</v>
      </c>
      <c r="G592" s="126" t="s">
        <v>620</v>
      </c>
      <c r="H592" s="147" t="s">
        <v>1082</v>
      </c>
      <c r="I592" s="111" t="s">
        <v>604</v>
      </c>
      <c r="J592" s="126" t="s">
        <v>605</v>
      </c>
      <c r="K592" s="43"/>
      <c r="L592" s="43"/>
    </row>
    <row r="593" spans="1:12" ht="88.5">
      <c r="A593" s="125">
        <v>2025</v>
      </c>
      <c r="B593" s="126" t="s">
        <v>1136</v>
      </c>
      <c r="C593" s="110">
        <v>20</v>
      </c>
      <c r="D593" s="127" t="s">
        <v>707</v>
      </c>
      <c r="E593" s="127"/>
      <c r="F593" s="110">
        <v>1</v>
      </c>
      <c r="G593" s="127" t="s">
        <v>708</v>
      </c>
      <c r="H593" s="147" t="s">
        <v>1082</v>
      </c>
      <c r="I593" s="111">
        <v>22</v>
      </c>
      <c r="J593" s="127" t="s">
        <v>1137</v>
      </c>
      <c r="K593" s="43"/>
      <c r="L593" s="43"/>
    </row>
    <row r="594" spans="1:12" ht="88.5">
      <c r="A594" s="125">
        <v>2025</v>
      </c>
      <c r="B594" s="126" t="s">
        <v>1136</v>
      </c>
      <c r="C594" s="110">
        <v>30</v>
      </c>
      <c r="D594" s="127" t="s">
        <v>713</v>
      </c>
      <c r="E594" s="127"/>
      <c r="F594" s="110">
        <v>1</v>
      </c>
      <c r="G594" s="126" t="s">
        <v>588</v>
      </c>
      <c r="H594" s="147" t="s">
        <v>1082</v>
      </c>
      <c r="I594" s="111">
        <v>3</v>
      </c>
      <c r="J594" s="127" t="s">
        <v>763</v>
      </c>
      <c r="K594" s="43"/>
      <c r="L594" s="43"/>
    </row>
    <row r="595" spans="1:12" ht="88.5">
      <c r="A595" s="125">
        <v>2025</v>
      </c>
      <c r="B595" s="126" t="s">
        <v>1136</v>
      </c>
      <c r="C595" s="110">
        <v>30</v>
      </c>
      <c r="D595" s="127" t="s">
        <v>713</v>
      </c>
      <c r="E595" s="127"/>
      <c r="F595" s="110">
        <v>2</v>
      </c>
      <c r="G595" s="126" t="s">
        <v>1138</v>
      </c>
      <c r="H595" s="147" t="s">
        <v>1082</v>
      </c>
      <c r="I595" s="111">
        <v>9</v>
      </c>
      <c r="J595" s="127" t="s">
        <v>1139</v>
      </c>
      <c r="K595" s="43"/>
      <c r="L595" s="43"/>
    </row>
    <row r="596" spans="1:12" ht="106.5">
      <c r="A596" s="125">
        <v>2025</v>
      </c>
      <c r="B596" s="126" t="s">
        <v>1140</v>
      </c>
      <c r="C596" s="110">
        <v>2</v>
      </c>
      <c r="D596" s="127" t="s">
        <v>590</v>
      </c>
      <c r="E596" s="127"/>
      <c r="F596" s="110">
        <v>1</v>
      </c>
      <c r="G596" s="126" t="s">
        <v>588</v>
      </c>
      <c r="H596" s="145" t="s">
        <v>1097</v>
      </c>
      <c r="I596" s="111">
        <v>3</v>
      </c>
      <c r="J596" s="127" t="s">
        <v>628</v>
      </c>
      <c r="K596" s="43"/>
      <c r="L596" s="43"/>
    </row>
    <row r="597" spans="1:12" ht="106.5">
      <c r="A597" s="125">
        <v>2025</v>
      </c>
      <c r="B597" s="126" t="s">
        <v>1140</v>
      </c>
      <c r="C597" s="110">
        <v>2</v>
      </c>
      <c r="D597" s="127" t="s">
        <v>590</v>
      </c>
      <c r="E597" s="127"/>
      <c r="F597" s="110">
        <v>1</v>
      </c>
      <c r="G597" s="126" t="s">
        <v>620</v>
      </c>
      <c r="H597" s="145" t="s">
        <v>1097</v>
      </c>
      <c r="I597" s="111">
        <v>3</v>
      </c>
      <c r="J597" s="127" t="s">
        <v>931</v>
      </c>
      <c r="K597" s="43"/>
      <c r="L597" s="43"/>
    </row>
    <row r="598" spans="1:12" ht="106.5">
      <c r="A598" s="125">
        <v>2025</v>
      </c>
      <c r="B598" s="126" t="s">
        <v>1140</v>
      </c>
      <c r="C598" s="110">
        <v>2</v>
      </c>
      <c r="D598" s="127" t="s">
        <v>590</v>
      </c>
      <c r="E598" s="127"/>
      <c r="F598" s="110">
        <v>1</v>
      </c>
      <c r="G598" s="126" t="s">
        <v>620</v>
      </c>
      <c r="H598" s="145" t="s">
        <v>1097</v>
      </c>
      <c r="I598" s="111">
        <v>3</v>
      </c>
      <c r="J598" s="127" t="s">
        <v>986</v>
      </c>
      <c r="K598" s="43"/>
      <c r="L598" s="43"/>
    </row>
    <row r="599" spans="1:12" ht="106.5">
      <c r="A599" s="125">
        <v>2025</v>
      </c>
      <c r="B599" s="126" t="s">
        <v>1140</v>
      </c>
      <c r="C599" s="110">
        <v>20</v>
      </c>
      <c r="D599" s="127" t="s">
        <v>707</v>
      </c>
      <c r="E599" s="127"/>
      <c r="F599" s="110">
        <v>1</v>
      </c>
      <c r="G599" s="127" t="s">
        <v>708</v>
      </c>
      <c r="H599" s="145" t="s">
        <v>1097</v>
      </c>
      <c r="I599" s="111">
        <v>16</v>
      </c>
      <c r="J599" s="127" t="s">
        <v>1141</v>
      </c>
      <c r="K599" s="43"/>
      <c r="L599" s="43"/>
    </row>
    <row r="600" spans="1:12" ht="106.5">
      <c r="A600" s="125">
        <v>2025</v>
      </c>
      <c r="B600" s="126" t="s">
        <v>1140</v>
      </c>
      <c r="C600" s="110">
        <v>30</v>
      </c>
      <c r="D600" s="127" t="s">
        <v>713</v>
      </c>
      <c r="E600" s="127"/>
      <c r="F600" s="110">
        <v>1</v>
      </c>
      <c r="G600" s="126" t="s">
        <v>588</v>
      </c>
      <c r="H600" s="145" t="s">
        <v>1097</v>
      </c>
      <c r="I600" s="111">
        <v>10</v>
      </c>
      <c r="J600" s="127" t="s">
        <v>1142</v>
      </c>
      <c r="K600" s="43"/>
      <c r="L600" s="43"/>
    </row>
    <row r="601" spans="1:12" ht="106.5">
      <c r="A601" s="125">
        <v>2025</v>
      </c>
      <c r="B601" s="126" t="s">
        <v>1140</v>
      </c>
      <c r="C601" s="110">
        <v>30</v>
      </c>
      <c r="D601" s="127" t="s">
        <v>713</v>
      </c>
      <c r="E601" s="127"/>
      <c r="F601" s="110">
        <v>1</v>
      </c>
      <c r="G601" s="126" t="s">
        <v>620</v>
      </c>
      <c r="H601" s="145" t="s">
        <v>1097</v>
      </c>
      <c r="I601" s="111">
        <v>3</v>
      </c>
      <c r="J601" s="127" t="s">
        <v>988</v>
      </c>
      <c r="K601" s="43"/>
      <c r="L601" s="43"/>
    </row>
    <row r="602" spans="1:12">
      <c r="C602" s="227"/>
    </row>
  </sheetData>
  <autoFilter ref="A1:L601" xr:uid="{3F835C66-7C82-451F-85B7-9FADCCC4E325}">
    <sortState xmlns:xlrd2="http://schemas.microsoft.com/office/spreadsheetml/2017/richdata2" ref="A2:L601">
      <sortCondition ref="B2:B601"/>
      <sortCondition ref="H2:H601"/>
      <sortCondition ref="C2:C601"/>
      <sortCondition ref="F2:F601"/>
    </sortState>
  </autoFilter>
  <pageMargins left="0.45" right="0.45" top="0.5" bottom="0.5" header="0.3" footer="0.3"/>
  <pageSetup scale="60" fitToHeight="0" orientation="landscape" r:id="rId1"/>
  <headerFooter>
    <oddHeader>&amp;RRevised  &amp;D</oddHeader>
    <oddFooter>&amp;R&amp;P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3E529-F618-4E95-8C41-A237AF51DD04}">
  <dimension ref="A1:P441"/>
  <sheetViews>
    <sheetView zoomScale="110" zoomScaleNormal="110" workbookViewId="0">
      <pane ySplit="1" topLeftCell="A377" activePane="bottomLeft" state="frozen"/>
      <selection pane="bottomLeft" activeCell="E3" sqref="E3"/>
    </sheetView>
  </sheetViews>
  <sheetFormatPr defaultColWidth="9.140625" defaultRowHeight="15" customHeight="1"/>
  <cols>
    <col min="1" max="1" width="12.140625" style="12" customWidth="1"/>
    <col min="2" max="4" width="25.85546875" style="14" customWidth="1"/>
    <col min="5" max="5" width="11.7109375" style="12" customWidth="1"/>
    <col min="6" max="6" width="14.140625" style="12" customWidth="1"/>
    <col min="7" max="7" width="15.5703125" style="12" customWidth="1"/>
    <col min="8" max="8" width="11.28515625" style="138" customWidth="1"/>
    <col min="9" max="10" width="9.140625" style="138" customWidth="1"/>
    <col min="11" max="11" width="9.7109375" style="138" customWidth="1"/>
    <col min="12" max="12" width="11" style="138" customWidth="1"/>
    <col min="13" max="13" width="75.140625" style="14" customWidth="1"/>
    <col min="14" max="14" width="35.5703125" style="12" customWidth="1"/>
    <col min="15" max="15" width="16.42578125" style="102" customWidth="1"/>
    <col min="16" max="16" width="73" style="14" customWidth="1"/>
    <col min="17" max="16384" width="9.140625" style="12"/>
  </cols>
  <sheetData>
    <row r="1" spans="1:16" s="103" customFormat="1" ht="30.75">
      <c r="A1" s="103" t="s">
        <v>1143</v>
      </c>
      <c r="B1" s="104" t="s">
        <v>1144</v>
      </c>
      <c r="C1" s="104" t="s">
        <v>1145</v>
      </c>
      <c r="D1" s="104" t="s">
        <v>2</v>
      </c>
      <c r="E1" s="103" t="s">
        <v>1146</v>
      </c>
      <c r="F1" s="103" t="s">
        <v>1147</v>
      </c>
      <c r="G1" s="103" t="s">
        <v>1148</v>
      </c>
      <c r="H1" s="104" t="s">
        <v>1149</v>
      </c>
      <c r="I1" s="103" t="s">
        <v>1150</v>
      </c>
      <c r="J1" s="103" t="s">
        <v>1151</v>
      </c>
      <c r="K1" s="103" t="s">
        <v>1152</v>
      </c>
      <c r="L1" s="103" t="s">
        <v>1153</v>
      </c>
      <c r="M1" s="104" t="s">
        <v>1154</v>
      </c>
      <c r="N1" s="103" t="s">
        <v>1155</v>
      </c>
      <c r="O1" s="253" t="s">
        <v>1156</v>
      </c>
      <c r="P1" s="104" t="s">
        <v>1157</v>
      </c>
    </row>
    <row r="2" spans="1:16" s="226" customFormat="1" ht="91.5">
      <c r="A2" s="254" t="s">
        <v>1158</v>
      </c>
      <c r="B2" s="255" t="s">
        <v>1159</v>
      </c>
      <c r="C2" s="255" t="s">
        <v>1160</v>
      </c>
      <c r="D2" s="255" t="s">
        <v>49</v>
      </c>
      <c r="E2" s="256" t="s">
        <v>1161</v>
      </c>
      <c r="F2" s="256" t="s">
        <v>1162</v>
      </c>
      <c r="G2" s="256" t="s">
        <v>1162</v>
      </c>
      <c r="H2" s="257">
        <v>1</v>
      </c>
      <c r="I2" s="257">
        <v>0</v>
      </c>
      <c r="J2" s="257">
        <v>2</v>
      </c>
      <c r="K2" s="257">
        <v>0</v>
      </c>
      <c r="L2" s="257">
        <v>0</v>
      </c>
      <c r="M2" s="100" t="s">
        <v>1163</v>
      </c>
      <c r="N2" s="257"/>
      <c r="O2" s="258"/>
      <c r="P2" s="259" t="s">
        <v>1164</v>
      </c>
    </row>
    <row r="3" spans="1:16" ht="167.25">
      <c r="A3" s="13" t="s">
        <v>1165</v>
      </c>
      <c r="B3" s="15" t="s">
        <v>1166</v>
      </c>
      <c r="C3" s="15" t="s">
        <v>1160</v>
      </c>
      <c r="D3" s="15" t="s">
        <v>49</v>
      </c>
      <c r="E3" s="13" t="s">
        <v>1161</v>
      </c>
      <c r="F3" s="13" t="s">
        <v>1161</v>
      </c>
      <c r="G3" s="13" t="s">
        <v>1161</v>
      </c>
      <c r="H3" s="138">
        <v>1</v>
      </c>
      <c r="I3" s="138">
        <v>0</v>
      </c>
      <c r="J3" s="138">
        <v>2</v>
      </c>
      <c r="K3" s="138">
        <v>0</v>
      </c>
      <c r="L3" s="138">
        <v>0</v>
      </c>
      <c r="M3" s="42" t="s">
        <v>1167</v>
      </c>
      <c r="N3" s="14"/>
      <c r="O3" s="100"/>
      <c r="P3" s="14" t="s">
        <v>1164</v>
      </c>
    </row>
    <row r="4" spans="1:16" ht="75">
      <c r="A4" s="13" t="s">
        <v>1168</v>
      </c>
      <c r="B4" s="15" t="s">
        <v>1169</v>
      </c>
      <c r="C4" s="15" t="s">
        <v>1170</v>
      </c>
      <c r="D4" s="225" t="s">
        <v>49</v>
      </c>
      <c r="E4" s="224" t="s">
        <v>1162</v>
      </c>
      <c r="F4" s="224" t="s">
        <v>1161</v>
      </c>
      <c r="G4" s="224" t="s">
        <v>1162</v>
      </c>
      <c r="H4" s="138">
        <v>3</v>
      </c>
      <c r="I4" s="138">
        <v>3</v>
      </c>
      <c r="J4" s="138">
        <v>0</v>
      </c>
      <c r="K4" s="138">
        <v>0</v>
      </c>
      <c r="L4" s="138">
        <v>0</v>
      </c>
      <c r="M4" s="42" t="s">
        <v>1171</v>
      </c>
      <c r="N4" s="14"/>
      <c r="O4" s="100"/>
      <c r="P4" s="14" t="s">
        <v>1164</v>
      </c>
    </row>
    <row r="5" spans="1:16" ht="105">
      <c r="A5" s="13" t="s">
        <v>1172</v>
      </c>
      <c r="B5" s="15" t="s">
        <v>1173</v>
      </c>
      <c r="C5" s="15" t="s">
        <v>1170</v>
      </c>
      <c r="D5" s="15" t="s">
        <v>49</v>
      </c>
      <c r="E5" s="13" t="s">
        <v>1161</v>
      </c>
      <c r="F5" s="13" t="s">
        <v>1162</v>
      </c>
      <c r="G5" s="13" t="s">
        <v>1162</v>
      </c>
      <c r="H5" s="138">
        <v>4</v>
      </c>
      <c r="I5" s="138">
        <v>3</v>
      </c>
      <c r="J5" s="138">
        <v>2</v>
      </c>
      <c r="K5" s="138">
        <v>0</v>
      </c>
      <c r="L5" s="138">
        <v>0</v>
      </c>
      <c r="M5" s="15" t="s">
        <v>1174</v>
      </c>
      <c r="N5" s="15"/>
      <c r="O5" s="100"/>
      <c r="P5" s="14" t="s">
        <v>1164</v>
      </c>
    </row>
    <row r="6" spans="1:16" ht="135">
      <c r="A6" s="13" t="s">
        <v>1175</v>
      </c>
      <c r="B6" s="15" t="s">
        <v>1176</v>
      </c>
      <c r="C6" s="15" t="s">
        <v>1170</v>
      </c>
      <c r="D6" s="15" t="s">
        <v>49</v>
      </c>
      <c r="E6" s="13" t="s">
        <v>1161</v>
      </c>
      <c r="F6" s="13" t="s">
        <v>1162</v>
      </c>
      <c r="G6" s="13" t="s">
        <v>1162</v>
      </c>
      <c r="H6" s="138">
        <v>4</v>
      </c>
      <c r="I6" s="138">
        <v>3</v>
      </c>
      <c r="J6" s="138">
        <v>2</v>
      </c>
      <c r="K6" s="138">
        <v>0</v>
      </c>
      <c r="L6" s="138">
        <v>0</v>
      </c>
      <c r="M6" s="42" t="s">
        <v>1177</v>
      </c>
      <c r="N6" s="15"/>
      <c r="O6" s="100"/>
      <c r="P6" s="14" t="s">
        <v>1164</v>
      </c>
    </row>
    <row r="7" spans="1:16" ht="135">
      <c r="A7" s="13" t="s">
        <v>1178</v>
      </c>
      <c r="B7" s="15" t="s">
        <v>1179</v>
      </c>
      <c r="C7" s="15" t="s">
        <v>1170</v>
      </c>
      <c r="D7" s="15" t="s">
        <v>49</v>
      </c>
      <c r="E7" s="13" t="s">
        <v>1162</v>
      </c>
      <c r="F7" s="13" t="s">
        <v>1161</v>
      </c>
      <c r="G7" s="13" t="s">
        <v>1162</v>
      </c>
      <c r="H7" s="138">
        <v>4</v>
      </c>
      <c r="I7" s="138">
        <v>3</v>
      </c>
      <c r="J7" s="138">
        <v>2</v>
      </c>
      <c r="K7" s="138">
        <v>0</v>
      </c>
      <c r="L7" s="138">
        <v>0</v>
      </c>
      <c r="M7" s="42" t="s">
        <v>1180</v>
      </c>
      <c r="N7" s="15"/>
      <c r="O7" s="100"/>
      <c r="P7" s="14" t="s">
        <v>1164</v>
      </c>
    </row>
    <row r="8" spans="1:16" ht="105">
      <c r="A8" s="13" t="s">
        <v>1181</v>
      </c>
      <c r="B8" s="15" t="s">
        <v>1182</v>
      </c>
      <c r="C8" s="15" t="s">
        <v>1170</v>
      </c>
      <c r="D8" s="15" t="s">
        <v>49</v>
      </c>
      <c r="E8" s="13" t="s">
        <v>1162</v>
      </c>
      <c r="F8" s="13" t="s">
        <v>1161</v>
      </c>
      <c r="G8" s="13" t="s">
        <v>1162</v>
      </c>
      <c r="H8" s="138">
        <v>3</v>
      </c>
      <c r="I8" s="138">
        <v>3</v>
      </c>
      <c r="J8" s="138">
        <v>0</v>
      </c>
      <c r="K8" s="138">
        <v>0</v>
      </c>
      <c r="L8" s="138">
        <v>0</v>
      </c>
      <c r="M8" s="15" t="s">
        <v>1183</v>
      </c>
      <c r="N8" s="15"/>
      <c r="O8" s="100"/>
      <c r="P8" s="14" t="s">
        <v>1164</v>
      </c>
    </row>
    <row r="9" spans="1:16" ht="75">
      <c r="A9" s="13" t="s">
        <v>1184</v>
      </c>
      <c r="B9" s="15" t="s">
        <v>1185</v>
      </c>
      <c r="C9" s="15" t="s">
        <v>1170</v>
      </c>
      <c r="D9" s="15" t="s">
        <v>49</v>
      </c>
      <c r="E9" s="13" t="s">
        <v>1161</v>
      </c>
      <c r="F9" s="13" t="s">
        <v>1162</v>
      </c>
      <c r="G9" s="13" t="s">
        <v>1162</v>
      </c>
      <c r="H9" s="138">
        <v>3</v>
      </c>
      <c r="I9" s="138">
        <v>2</v>
      </c>
      <c r="J9" s="138">
        <v>2</v>
      </c>
      <c r="K9" s="138">
        <v>0</v>
      </c>
      <c r="L9" s="138">
        <v>0</v>
      </c>
      <c r="M9" s="15" t="s">
        <v>1186</v>
      </c>
      <c r="N9" s="15"/>
      <c r="O9" s="100"/>
      <c r="P9" s="14" t="s">
        <v>1164</v>
      </c>
    </row>
    <row r="10" spans="1:16" ht="90">
      <c r="A10" s="13" t="s">
        <v>1187</v>
      </c>
      <c r="B10" s="15" t="s">
        <v>1188</v>
      </c>
      <c r="C10" s="15" t="s">
        <v>1170</v>
      </c>
      <c r="D10" s="15" t="s">
        <v>49</v>
      </c>
      <c r="E10" s="13" t="s">
        <v>1161</v>
      </c>
      <c r="F10" s="13" t="s">
        <v>1161</v>
      </c>
      <c r="G10" s="13" t="s">
        <v>1162</v>
      </c>
      <c r="H10" s="138">
        <v>3</v>
      </c>
      <c r="I10" s="138">
        <v>2</v>
      </c>
      <c r="J10" s="138">
        <v>2</v>
      </c>
      <c r="K10" s="138">
        <v>0</v>
      </c>
      <c r="L10" s="138">
        <v>0</v>
      </c>
      <c r="M10" s="15" t="s">
        <v>1189</v>
      </c>
      <c r="N10" s="15"/>
      <c r="O10" s="100"/>
      <c r="P10" s="14" t="s">
        <v>1164</v>
      </c>
    </row>
    <row r="11" spans="1:16" ht="105">
      <c r="A11" s="13" t="s">
        <v>1190</v>
      </c>
      <c r="B11" s="15" t="s">
        <v>1191</v>
      </c>
      <c r="C11" s="15" t="s">
        <v>1170</v>
      </c>
      <c r="D11" s="15" t="s">
        <v>49</v>
      </c>
      <c r="E11" s="13" t="s">
        <v>1162</v>
      </c>
      <c r="F11" s="13" t="s">
        <v>1161</v>
      </c>
      <c r="G11" s="13" t="s">
        <v>1162</v>
      </c>
      <c r="H11" s="138">
        <v>2</v>
      </c>
      <c r="I11" s="138">
        <v>1</v>
      </c>
      <c r="J11" s="138">
        <v>3</v>
      </c>
      <c r="K11" s="138">
        <v>0</v>
      </c>
      <c r="L11" s="138">
        <v>0</v>
      </c>
      <c r="M11" s="15" t="s">
        <v>1192</v>
      </c>
      <c r="N11" s="15"/>
      <c r="O11" s="100"/>
      <c r="P11" s="14" t="s">
        <v>1164</v>
      </c>
    </row>
    <row r="12" spans="1:16" ht="75">
      <c r="A12" s="13" t="s">
        <v>1193</v>
      </c>
      <c r="B12" s="15" t="s">
        <v>1194</v>
      </c>
      <c r="C12" s="15" t="s">
        <v>1170</v>
      </c>
      <c r="D12" s="15" t="s">
        <v>49</v>
      </c>
      <c r="E12" s="13" t="s">
        <v>1162</v>
      </c>
      <c r="F12" s="13" t="s">
        <v>1161</v>
      </c>
      <c r="G12" s="13" t="s">
        <v>1162</v>
      </c>
      <c r="H12" s="138">
        <v>2</v>
      </c>
      <c r="I12" s="138">
        <v>1</v>
      </c>
      <c r="J12" s="138">
        <v>3</v>
      </c>
      <c r="K12" s="138">
        <v>0</v>
      </c>
      <c r="L12" s="138">
        <v>0</v>
      </c>
      <c r="M12" s="15" t="s">
        <v>1195</v>
      </c>
      <c r="N12" s="15"/>
      <c r="O12" s="100"/>
      <c r="P12" s="14" t="s">
        <v>1164</v>
      </c>
    </row>
    <row r="13" spans="1:16" ht="60">
      <c r="A13" s="13" t="s">
        <v>1196</v>
      </c>
      <c r="B13" s="15" t="s">
        <v>1197</v>
      </c>
      <c r="C13" s="15" t="s">
        <v>1170</v>
      </c>
      <c r="D13" s="15" t="s">
        <v>49</v>
      </c>
      <c r="E13" s="13" t="s">
        <v>1162</v>
      </c>
      <c r="F13" s="13" t="s">
        <v>1161</v>
      </c>
      <c r="G13" s="13" t="s">
        <v>1162</v>
      </c>
      <c r="H13" s="138">
        <v>3</v>
      </c>
      <c r="I13" s="138">
        <v>3</v>
      </c>
      <c r="J13" s="138">
        <v>0</v>
      </c>
      <c r="K13" s="138">
        <v>0</v>
      </c>
      <c r="L13" s="138">
        <v>0</v>
      </c>
      <c r="M13" s="15" t="s">
        <v>1198</v>
      </c>
      <c r="N13" s="15"/>
      <c r="O13" s="100"/>
      <c r="P13" s="14" t="s">
        <v>1164</v>
      </c>
    </row>
    <row r="14" spans="1:16" ht="90">
      <c r="A14" s="13" t="s">
        <v>1199</v>
      </c>
      <c r="B14" s="15" t="s">
        <v>1200</v>
      </c>
      <c r="C14" s="15" t="s">
        <v>1170</v>
      </c>
      <c r="D14" s="15" t="s">
        <v>49</v>
      </c>
      <c r="E14" s="13" t="s">
        <v>1161</v>
      </c>
      <c r="F14" s="13" t="s">
        <v>1162</v>
      </c>
      <c r="G14" s="13" t="s">
        <v>1162</v>
      </c>
      <c r="H14" s="138">
        <v>4</v>
      </c>
      <c r="I14" s="138">
        <v>3</v>
      </c>
      <c r="J14" s="138">
        <v>2</v>
      </c>
      <c r="K14" s="138">
        <v>0</v>
      </c>
      <c r="L14" s="138">
        <v>0</v>
      </c>
      <c r="M14" s="15" t="s">
        <v>1201</v>
      </c>
      <c r="N14" s="15"/>
      <c r="O14" s="100"/>
      <c r="P14" s="14" t="s">
        <v>1164</v>
      </c>
    </row>
    <row r="15" spans="1:16" ht="75">
      <c r="A15" s="13" t="s">
        <v>1202</v>
      </c>
      <c r="B15" s="15" t="s">
        <v>1203</v>
      </c>
      <c r="C15" s="15" t="s">
        <v>1170</v>
      </c>
      <c r="D15" s="15" t="s">
        <v>49</v>
      </c>
      <c r="E15" s="13" t="s">
        <v>1162</v>
      </c>
      <c r="F15" s="13" t="s">
        <v>1161</v>
      </c>
      <c r="G15" s="13" t="s">
        <v>1162</v>
      </c>
      <c r="H15" s="138">
        <v>4</v>
      </c>
      <c r="I15" s="138">
        <v>3</v>
      </c>
      <c r="J15" s="138">
        <v>2</v>
      </c>
      <c r="K15" s="138">
        <v>0</v>
      </c>
      <c r="L15" s="138">
        <v>0</v>
      </c>
      <c r="M15" s="15" t="s">
        <v>1204</v>
      </c>
      <c r="N15" s="15"/>
      <c r="O15" s="100"/>
      <c r="P15" s="14" t="s">
        <v>1164</v>
      </c>
    </row>
    <row r="16" spans="1:16" ht="90">
      <c r="A16" s="13" t="s">
        <v>1205</v>
      </c>
      <c r="B16" s="15" t="s">
        <v>1206</v>
      </c>
      <c r="C16" s="15" t="s">
        <v>1170</v>
      </c>
      <c r="D16" s="15" t="s">
        <v>49</v>
      </c>
      <c r="E16" s="13" t="s">
        <v>1162</v>
      </c>
      <c r="F16" s="13" t="s">
        <v>1161</v>
      </c>
      <c r="G16" s="13" t="s">
        <v>1162</v>
      </c>
      <c r="H16" s="138">
        <v>3</v>
      </c>
      <c r="I16" s="138">
        <v>3</v>
      </c>
      <c r="J16" s="138">
        <v>0</v>
      </c>
      <c r="K16" s="138">
        <v>0</v>
      </c>
      <c r="L16" s="138">
        <v>0</v>
      </c>
      <c r="M16" s="15" t="s">
        <v>1207</v>
      </c>
      <c r="N16" s="15"/>
      <c r="O16" s="100"/>
      <c r="P16" s="14" t="s">
        <v>1164</v>
      </c>
    </row>
    <row r="17" spans="1:16" ht="105">
      <c r="A17" s="13" t="s">
        <v>1208</v>
      </c>
      <c r="B17" s="15" t="s">
        <v>1209</v>
      </c>
      <c r="C17" s="15" t="s">
        <v>1210</v>
      </c>
      <c r="D17" s="15" t="s">
        <v>49</v>
      </c>
      <c r="E17" s="13" t="s">
        <v>1161</v>
      </c>
      <c r="F17" s="13" t="s">
        <v>1162</v>
      </c>
      <c r="G17" s="13" t="s">
        <v>1162</v>
      </c>
      <c r="H17" s="138">
        <v>5</v>
      </c>
      <c r="I17" s="138">
        <v>2</v>
      </c>
      <c r="J17" s="138">
        <v>6</v>
      </c>
      <c r="K17" s="138">
        <v>0</v>
      </c>
      <c r="L17" s="138">
        <v>0</v>
      </c>
      <c r="M17" s="15" t="s">
        <v>1211</v>
      </c>
      <c r="N17" s="15"/>
      <c r="O17" s="100"/>
      <c r="P17" s="14" t="s">
        <v>1164</v>
      </c>
    </row>
    <row r="18" spans="1:16" ht="75">
      <c r="A18" s="13" t="s">
        <v>1212</v>
      </c>
      <c r="B18" s="15" t="s">
        <v>1213</v>
      </c>
      <c r="C18" s="15" t="s">
        <v>1210</v>
      </c>
      <c r="D18" s="15" t="s">
        <v>49</v>
      </c>
      <c r="E18" s="13" t="s">
        <v>1161</v>
      </c>
      <c r="F18" s="13" t="s">
        <v>1162</v>
      </c>
      <c r="G18" s="13" t="s">
        <v>1162</v>
      </c>
      <c r="H18" s="138">
        <v>3</v>
      </c>
      <c r="I18" s="138">
        <v>2</v>
      </c>
      <c r="J18" s="138">
        <v>2</v>
      </c>
      <c r="K18" s="138">
        <v>0</v>
      </c>
      <c r="L18" s="138">
        <v>0</v>
      </c>
      <c r="M18" s="15" t="s">
        <v>1214</v>
      </c>
      <c r="N18" s="15"/>
      <c r="O18" s="100"/>
      <c r="P18" s="14" t="s">
        <v>1164</v>
      </c>
    </row>
    <row r="19" spans="1:16" ht="90">
      <c r="A19" s="13" t="s">
        <v>1215</v>
      </c>
      <c r="B19" s="15" t="s">
        <v>1216</v>
      </c>
      <c r="C19" s="15" t="s">
        <v>1210</v>
      </c>
      <c r="D19" s="15" t="s">
        <v>49</v>
      </c>
      <c r="E19" s="13" t="s">
        <v>1162</v>
      </c>
      <c r="F19" s="13" t="s">
        <v>1161</v>
      </c>
      <c r="G19" s="13" t="s">
        <v>1162</v>
      </c>
      <c r="H19" s="138">
        <v>4</v>
      </c>
      <c r="I19" s="138">
        <v>2</v>
      </c>
      <c r="J19" s="138">
        <v>4</v>
      </c>
      <c r="K19" s="138">
        <v>0</v>
      </c>
      <c r="L19" s="138">
        <v>0</v>
      </c>
      <c r="M19" s="15" t="s">
        <v>1217</v>
      </c>
      <c r="N19" s="15"/>
      <c r="O19" s="100"/>
      <c r="P19" s="14" t="s">
        <v>1164</v>
      </c>
    </row>
    <row r="20" spans="1:16" ht="90">
      <c r="A20" s="13" t="s">
        <v>1218</v>
      </c>
      <c r="B20" s="15" t="s">
        <v>1219</v>
      </c>
      <c r="C20" s="15" t="s">
        <v>1210</v>
      </c>
      <c r="D20" s="15" t="s">
        <v>49</v>
      </c>
      <c r="E20" s="13" t="s">
        <v>1161</v>
      </c>
      <c r="F20" s="13" t="s">
        <v>1162</v>
      </c>
      <c r="G20" s="13" t="s">
        <v>1162</v>
      </c>
      <c r="H20" s="138">
        <v>4</v>
      </c>
      <c r="I20" s="138">
        <v>2</v>
      </c>
      <c r="J20" s="138">
        <v>4</v>
      </c>
      <c r="K20" s="138">
        <v>0</v>
      </c>
      <c r="L20" s="138">
        <v>0</v>
      </c>
      <c r="M20" s="15" t="s">
        <v>1220</v>
      </c>
      <c r="N20" s="15"/>
      <c r="O20" s="100"/>
      <c r="P20" s="14" t="s">
        <v>1164</v>
      </c>
    </row>
    <row r="21" spans="1:16" ht="75">
      <c r="A21" s="13" t="s">
        <v>1221</v>
      </c>
      <c r="B21" s="15" t="s">
        <v>1222</v>
      </c>
      <c r="C21" s="15" t="s">
        <v>1210</v>
      </c>
      <c r="D21" s="15" t="s">
        <v>49</v>
      </c>
      <c r="E21" s="13" t="s">
        <v>1162</v>
      </c>
      <c r="F21" s="13" t="s">
        <v>1161</v>
      </c>
      <c r="G21" s="13" t="s">
        <v>1162</v>
      </c>
      <c r="H21" s="138">
        <v>4</v>
      </c>
      <c r="I21" s="138">
        <v>2</v>
      </c>
      <c r="J21" s="138">
        <v>4</v>
      </c>
      <c r="K21" s="138">
        <v>0</v>
      </c>
      <c r="L21" s="138">
        <v>0</v>
      </c>
      <c r="M21" s="15" t="s">
        <v>1223</v>
      </c>
      <c r="N21" s="15"/>
      <c r="O21" s="100"/>
      <c r="P21" s="14" t="s">
        <v>1164</v>
      </c>
    </row>
    <row r="22" spans="1:16" ht="75">
      <c r="A22" s="13" t="s">
        <v>1224</v>
      </c>
      <c r="B22" s="15" t="s">
        <v>1225</v>
      </c>
      <c r="C22" s="15" t="s">
        <v>1210</v>
      </c>
      <c r="D22" s="15" t="s">
        <v>49</v>
      </c>
      <c r="E22" s="13" t="s">
        <v>1161</v>
      </c>
      <c r="F22" s="13" t="s">
        <v>1162</v>
      </c>
      <c r="G22" s="13" t="s">
        <v>1162</v>
      </c>
      <c r="H22" s="138">
        <v>2</v>
      </c>
      <c r="I22" s="138">
        <v>1</v>
      </c>
      <c r="J22" s="138">
        <v>3</v>
      </c>
      <c r="K22" s="138">
        <v>0</v>
      </c>
      <c r="L22" s="138">
        <v>0</v>
      </c>
      <c r="M22" s="15" t="s">
        <v>1226</v>
      </c>
      <c r="N22" s="15"/>
      <c r="O22" s="100"/>
      <c r="P22" s="14" t="s">
        <v>1164</v>
      </c>
    </row>
    <row r="23" spans="1:16" ht="75">
      <c r="A23" s="13" t="s">
        <v>1227</v>
      </c>
      <c r="B23" s="15" t="s">
        <v>1228</v>
      </c>
      <c r="C23" s="15" t="s">
        <v>1210</v>
      </c>
      <c r="D23" s="15" t="s">
        <v>49</v>
      </c>
      <c r="E23" s="13" t="s">
        <v>1162</v>
      </c>
      <c r="F23" s="13" t="s">
        <v>1161</v>
      </c>
      <c r="G23" s="13" t="s">
        <v>1162</v>
      </c>
      <c r="H23" s="138">
        <v>2</v>
      </c>
      <c r="I23" s="138">
        <v>1</v>
      </c>
      <c r="J23" s="138">
        <v>3</v>
      </c>
      <c r="K23" s="138">
        <v>0</v>
      </c>
      <c r="L23" s="138">
        <v>0</v>
      </c>
      <c r="M23" s="15" t="s">
        <v>1229</v>
      </c>
      <c r="N23" s="15"/>
      <c r="O23" s="100"/>
      <c r="P23" s="14" t="s">
        <v>1164</v>
      </c>
    </row>
    <row r="24" spans="1:16" ht="75">
      <c r="A24" s="13" t="s">
        <v>1230</v>
      </c>
      <c r="B24" s="15" t="s">
        <v>1231</v>
      </c>
      <c r="C24" s="15" t="s">
        <v>1210</v>
      </c>
      <c r="D24" s="15" t="s">
        <v>49</v>
      </c>
      <c r="E24" s="13" t="s">
        <v>1162</v>
      </c>
      <c r="F24" s="13" t="s">
        <v>1161</v>
      </c>
      <c r="G24" s="13" t="s">
        <v>1162</v>
      </c>
      <c r="H24" s="138">
        <v>3</v>
      </c>
      <c r="I24" s="138">
        <v>2</v>
      </c>
      <c r="J24" s="138">
        <v>2</v>
      </c>
      <c r="K24" s="138">
        <v>0</v>
      </c>
      <c r="L24" s="138">
        <v>0</v>
      </c>
      <c r="M24" s="15" t="s">
        <v>1232</v>
      </c>
      <c r="N24" s="15"/>
      <c r="O24" s="100"/>
      <c r="P24" s="14" t="s">
        <v>1164</v>
      </c>
    </row>
    <row r="25" spans="1:16" ht="60">
      <c r="A25" s="13" t="s">
        <v>1233</v>
      </c>
      <c r="B25" s="15" t="s">
        <v>1234</v>
      </c>
      <c r="C25" s="15" t="s">
        <v>1210</v>
      </c>
      <c r="D25" s="15" t="s">
        <v>49</v>
      </c>
      <c r="E25" s="13" t="s">
        <v>1162</v>
      </c>
      <c r="F25" s="13" t="s">
        <v>1161</v>
      </c>
      <c r="G25" s="13" t="s">
        <v>1162</v>
      </c>
      <c r="H25" s="138">
        <v>2</v>
      </c>
      <c r="I25" s="138">
        <v>1</v>
      </c>
      <c r="J25" s="138">
        <v>3</v>
      </c>
      <c r="K25" s="138">
        <v>0</v>
      </c>
      <c r="L25" s="138">
        <v>0</v>
      </c>
      <c r="M25" s="15" t="s">
        <v>1235</v>
      </c>
      <c r="N25" s="15"/>
      <c r="O25" s="100"/>
      <c r="P25" s="14" t="s">
        <v>1164</v>
      </c>
    </row>
    <row r="26" spans="1:16" ht="75">
      <c r="A26" s="13" t="s">
        <v>1236</v>
      </c>
      <c r="B26" s="15" t="s">
        <v>1237</v>
      </c>
      <c r="C26" s="15" t="s">
        <v>1210</v>
      </c>
      <c r="D26" s="15" t="s">
        <v>49</v>
      </c>
      <c r="E26" s="13" t="s">
        <v>1162</v>
      </c>
      <c r="F26" s="13" t="s">
        <v>1161</v>
      </c>
      <c r="G26" s="13" t="s">
        <v>1162</v>
      </c>
      <c r="H26" s="138">
        <v>1</v>
      </c>
      <c r="I26" s="138">
        <v>1</v>
      </c>
      <c r="J26" s="138">
        <v>0</v>
      </c>
      <c r="K26" s="138">
        <v>0</v>
      </c>
      <c r="L26" s="138">
        <v>0</v>
      </c>
      <c r="M26" s="15" t="s">
        <v>1238</v>
      </c>
      <c r="N26" s="15"/>
      <c r="O26" s="100"/>
      <c r="P26" s="14" t="s">
        <v>1164</v>
      </c>
    </row>
    <row r="27" spans="1:16" ht="90">
      <c r="A27" s="13" t="s">
        <v>1239</v>
      </c>
      <c r="B27" s="15" t="s">
        <v>1240</v>
      </c>
      <c r="C27" s="15" t="s">
        <v>1210</v>
      </c>
      <c r="D27" s="15" t="s">
        <v>49</v>
      </c>
      <c r="E27" s="13" t="s">
        <v>1161</v>
      </c>
      <c r="F27" s="13" t="s">
        <v>1162</v>
      </c>
      <c r="G27" s="13" t="s">
        <v>1162</v>
      </c>
      <c r="H27" s="138">
        <v>1</v>
      </c>
      <c r="I27" s="138">
        <v>1</v>
      </c>
      <c r="J27" s="138">
        <v>0</v>
      </c>
      <c r="K27" s="138">
        <v>0</v>
      </c>
      <c r="L27" s="138">
        <v>0</v>
      </c>
      <c r="M27" s="15" t="s">
        <v>1241</v>
      </c>
      <c r="N27" s="15"/>
      <c r="O27" s="100"/>
      <c r="P27" s="14" t="s">
        <v>1164</v>
      </c>
    </row>
    <row r="28" spans="1:16" ht="75">
      <c r="A28" s="13" t="s">
        <v>1242</v>
      </c>
      <c r="B28" s="15" t="s">
        <v>1243</v>
      </c>
      <c r="C28" s="15" t="s">
        <v>1210</v>
      </c>
      <c r="D28" s="15" t="s">
        <v>49</v>
      </c>
      <c r="E28" s="13" t="s">
        <v>1161</v>
      </c>
      <c r="F28" s="13" t="s">
        <v>1162</v>
      </c>
      <c r="G28" s="13" t="s">
        <v>1162</v>
      </c>
      <c r="H28" s="138">
        <v>3</v>
      </c>
      <c r="I28" s="138">
        <v>2</v>
      </c>
      <c r="J28" s="138">
        <v>2</v>
      </c>
      <c r="K28" s="138">
        <v>0</v>
      </c>
      <c r="L28" s="138">
        <v>0</v>
      </c>
      <c r="M28" s="15" t="s">
        <v>1244</v>
      </c>
      <c r="N28" s="15"/>
      <c r="O28" s="100"/>
      <c r="P28" s="14" t="s">
        <v>1164</v>
      </c>
    </row>
    <row r="29" spans="1:16" ht="105">
      <c r="A29" s="13" t="s">
        <v>1245</v>
      </c>
      <c r="B29" s="15" t="s">
        <v>1246</v>
      </c>
      <c r="C29" s="15" t="s">
        <v>1210</v>
      </c>
      <c r="D29" s="15" t="s">
        <v>49</v>
      </c>
      <c r="E29" s="13" t="s">
        <v>1162</v>
      </c>
      <c r="F29" s="13" t="s">
        <v>1161</v>
      </c>
      <c r="G29" s="13" t="s">
        <v>1162</v>
      </c>
      <c r="H29" s="138">
        <v>4</v>
      </c>
      <c r="I29" s="138">
        <v>2</v>
      </c>
      <c r="J29" s="138">
        <v>6</v>
      </c>
      <c r="K29" s="138">
        <v>0</v>
      </c>
      <c r="L29" s="138">
        <v>0</v>
      </c>
      <c r="M29" s="15" t="s">
        <v>1247</v>
      </c>
      <c r="N29" s="15"/>
      <c r="O29" s="100"/>
      <c r="P29" s="14" t="s">
        <v>1164</v>
      </c>
    </row>
    <row r="30" spans="1:16" ht="75">
      <c r="A30" s="13" t="s">
        <v>1248</v>
      </c>
      <c r="B30" s="15" t="s">
        <v>1249</v>
      </c>
      <c r="C30" s="15" t="s">
        <v>1210</v>
      </c>
      <c r="D30" s="15" t="s">
        <v>49</v>
      </c>
      <c r="E30" s="13" t="s">
        <v>1161</v>
      </c>
      <c r="F30" s="13" t="s">
        <v>1162</v>
      </c>
      <c r="G30" s="13" t="s">
        <v>1162</v>
      </c>
      <c r="H30" s="138">
        <v>2</v>
      </c>
      <c r="I30" s="138">
        <v>1</v>
      </c>
      <c r="J30" s="138">
        <v>2</v>
      </c>
      <c r="K30" s="138">
        <v>0</v>
      </c>
      <c r="L30" s="138">
        <v>0</v>
      </c>
      <c r="M30" s="15" t="s">
        <v>1250</v>
      </c>
      <c r="N30" s="15"/>
      <c r="O30" s="100"/>
      <c r="P30" s="14" t="s">
        <v>1164</v>
      </c>
    </row>
    <row r="31" spans="1:16" ht="90">
      <c r="A31" s="13" t="s">
        <v>1251</v>
      </c>
      <c r="B31" s="15" t="s">
        <v>1252</v>
      </c>
      <c r="C31" s="15" t="s">
        <v>1210</v>
      </c>
      <c r="D31" s="15" t="s">
        <v>49</v>
      </c>
      <c r="E31" s="13" t="s">
        <v>1162</v>
      </c>
      <c r="F31" s="13" t="s">
        <v>1161</v>
      </c>
      <c r="G31" s="13" t="s">
        <v>1162</v>
      </c>
      <c r="H31" s="138">
        <v>3</v>
      </c>
      <c r="I31" s="138">
        <v>2</v>
      </c>
      <c r="J31" s="138">
        <v>2</v>
      </c>
      <c r="K31" s="138">
        <v>0</v>
      </c>
      <c r="L31" s="138">
        <v>0</v>
      </c>
      <c r="M31" s="15" t="s">
        <v>1253</v>
      </c>
      <c r="N31" s="15"/>
      <c r="O31" s="100"/>
      <c r="P31" s="14" t="s">
        <v>1164</v>
      </c>
    </row>
    <row r="32" spans="1:16" ht="150">
      <c r="A32" s="13" t="s">
        <v>1254</v>
      </c>
      <c r="B32" s="15" t="s">
        <v>1255</v>
      </c>
      <c r="C32" s="15" t="s">
        <v>1256</v>
      </c>
      <c r="D32" s="15" t="s">
        <v>49</v>
      </c>
      <c r="E32" s="224"/>
      <c r="F32" s="224"/>
      <c r="G32" s="224"/>
      <c r="H32" s="138">
        <v>3</v>
      </c>
      <c r="I32" s="138">
        <v>3</v>
      </c>
      <c r="J32" s="138">
        <v>0</v>
      </c>
      <c r="K32" s="138">
        <v>0</v>
      </c>
      <c r="L32" s="138">
        <v>0</v>
      </c>
      <c r="M32" s="15" t="s">
        <v>1257</v>
      </c>
      <c r="N32" s="15"/>
      <c r="O32" s="100"/>
      <c r="P32" s="14" t="s">
        <v>1164</v>
      </c>
    </row>
    <row r="33" spans="1:16" ht="165">
      <c r="A33" s="13" t="s">
        <v>1258</v>
      </c>
      <c r="B33" s="15" t="s">
        <v>1259</v>
      </c>
      <c r="C33" s="15" t="s">
        <v>1260</v>
      </c>
      <c r="D33" s="15" t="s">
        <v>49</v>
      </c>
      <c r="E33" s="13" t="s">
        <v>1161</v>
      </c>
      <c r="F33" s="13" t="s">
        <v>1161</v>
      </c>
      <c r="G33" s="13" t="s">
        <v>1161</v>
      </c>
      <c r="H33" s="138">
        <v>3</v>
      </c>
      <c r="I33" s="138">
        <v>3</v>
      </c>
      <c r="J33" s="138">
        <v>0</v>
      </c>
      <c r="K33" s="138">
        <v>0</v>
      </c>
      <c r="L33" s="138">
        <v>0</v>
      </c>
      <c r="M33" s="42" t="s">
        <v>1261</v>
      </c>
      <c r="N33" s="15"/>
      <c r="O33" s="100"/>
      <c r="P33" s="14" t="s">
        <v>1164</v>
      </c>
    </row>
    <row r="34" spans="1:16" ht="120">
      <c r="A34" s="13" t="s">
        <v>1262</v>
      </c>
      <c r="B34" s="15" t="s">
        <v>1263</v>
      </c>
      <c r="C34" s="15" t="s">
        <v>1260</v>
      </c>
      <c r="D34" s="15" t="s">
        <v>49</v>
      </c>
      <c r="E34" s="13" t="s">
        <v>1161</v>
      </c>
      <c r="F34" s="13" t="s">
        <v>1162</v>
      </c>
      <c r="G34" s="13" t="s">
        <v>1162</v>
      </c>
      <c r="H34" s="138">
        <v>3</v>
      </c>
      <c r="I34" s="138">
        <v>3</v>
      </c>
      <c r="J34" s="138">
        <v>0</v>
      </c>
      <c r="K34" s="138">
        <v>0</v>
      </c>
      <c r="L34" s="138">
        <v>0</v>
      </c>
      <c r="M34" s="42" t="s">
        <v>1264</v>
      </c>
      <c r="N34" s="15"/>
      <c r="O34" s="100"/>
      <c r="P34" s="14" t="s">
        <v>1164</v>
      </c>
    </row>
    <row r="35" spans="1:16" ht="150">
      <c r="A35" s="13" t="s">
        <v>1265</v>
      </c>
      <c r="B35" s="15" t="s">
        <v>1266</v>
      </c>
      <c r="C35" s="15" t="s">
        <v>1260</v>
      </c>
      <c r="D35" s="15" t="s">
        <v>49</v>
      </c>
      <c r="E35" s="13" t="s">
        <v>1162</v>
      </c>
      <c r="F35" s="13" t="s">
        <v>1161</v>
      </c>
      <c r="G35" s="13" t="s">
        <v>1162</v>
      </c>
      <c r="H35" s="138">
        <v>3</v>
      </c>
      <c r="I35" s="138">
        <v>3</v>
      </c>
      <c r="J35" s="138">
        <v>0</v>
      </c>
      <c r="K35" s="138">
        <v>0</v>
      </c>
      <c r="L35" s="138">
        <v>0</v>
      </c>
      <c r="M35" s="42" t="s">
        <v>1267</v>
      </c>
      <c r="N35" s="15"/>
      <c r="O35" s="100"/>
      <c r="P35" s="14" t="s">
        <v>1164</v>
      </c>
    </row>
    <row r="36" spans="1:16" ht="135">
      <c r="A36" s="13" t="s">
        <v>1268</v>
      </c>
      <c r="B36" s="15" t="s">
        <v>1269</v>
      </c>
      <c r="C36" s="15" t="s">
        <v>1260</v>
      </c>
      <c r="D36" s="15" t="s">
        <v>49</v>
      </c>
      <c r="E36" s="13" t="s">
        <v>1161</v>
      </c>
      <c r="F36" s="13" t="s">
        <v>1161</v>
      </c>
      <c r="G36" s="13" t="s">
        <v>1162</v>
      </c>
      <c r="H36" s="138">
        <v>3</v>
      </c>
      <c r="I36" s="138">
        <v>0</v>
      </c>
      <c r="J36" s="138">
        <v>6</v>
      </c>
      <c r="K36" s="138">
        <v>0</v>
      </c>
      <c r="L36" s="138">
        <v>0</v>
      </c>
      <c r="M36" s="42" t="s">
        <v>1270</v>
      </c>
      <c r="N36" s="15"/>
      <c r="O36" s="100"/>
      <c r="P36" s="14" t="s">
        <v>1164</v>
      </c>
    </row>
    <row r="37" spans="1:16" ht="120">
      <c r="A37" s="13" t="s">
        <v>1271</v>
      </c>
      <c r="B37" s="15" t="s">
        <v>1272</v>
      </c>
      <c r="C37" s="15" t="s">
        <v>1260</v>
      </c>
      <c r="D37" s="15" t="s">
        <v>49</v>
      </c>
      <c r="E37" s="13" t="s">
        <v>1161</v>
      </c>
      <c r="F37" s="13" t="s">
        <v>1161</v>
      </c>
      <c r="G37" s="13" t="s">
        <v>1162</v>
      </c>
      <c r="H37" s="138">
        <v>3</v>
      </c>
      <c r="I37" s="138">
        <v>0</v>
      </c>
      <c r="J37" s="138">
        <v>6</v>
      </c>
      <c r="K37" s="138">
        <v>0</v>
      </c>
      <c r="L37" s="138">
        <v>0</v>
      </c>
      <c r="M37" s="42" t="s">
        <v>1273</v>
      </c>
      <c r="N37" s="15"/>
      <c r="O37" s="100"/>
      <c r="P37" s="14" t="s">
        <v>1164</v>
      </c>
    </row>
    <row r="38" spans="1:16" ht="135">
      <c r="A38" s="13" t="s">
        <v>1274</v>
      </c>
      <c r="B38" s="15" t="s">
        <v>1275</v>
      </c>
      <c r="C38" s="15" t="s">
        <v>1260</v>
      </c>
      <c r="D38" s="15" t="s">
        <v>49</v>
      </c>
      <c r="E38" s="13" t="s">
        <v>1162</v>
      </c>
      <c r="F38" s="13" t="s">
        <v>1161</v>
      </c>
      <c r="G38" s="13" t="s">
        <v>1162</v>
      </c>
      <c r="H38" s="138">
        <v>3</v>
      </c>
      <c r="I38" s="138">
        <v>0</v>
      </c>
      <c r="J38" s="138">
        <v>6</v>
      </c>
      <c r="K38" s="138">
        <v>0</v>
      </c>
      <c r="L38" s="138">
        <v>0</v>
      </c>
      <c r="M38" s="42" t="s">
        <v>1276</v>
      </c>
      <c r="N38" s="15"/>
      <c r="O38" s="259"/>
      <c r="P38" s="14" t="s">
        <v>1164</v>
      </c>
    </row>
    <row r="39" spans="1:16" ht="150">
      <c r="A39" s="13" t="s">
        <v>1277</v>
      </c>
      <c r="B39" s="15" t="s">
        <v>1278</v>
      </c>
      <c r="C39" s="15" t="s">
        <v>1260</v>
      </c>
      <c r="D39" s="15" t="s">
        <v>49</v>
      </c>
      <c r="E39" s="13" t="s">
        <v>1162</v>
      </c>
      <c r="F39" s="13" t="s">
        <v>1162</v>
      </c>
      <c r="G39" s="13" t="s">
        <v>1162</v>
      </c>
      <c r="H39" s="138">
        <v>3</v>
      </c>
      <c r="I39" s="138">
        <v>0</v>
      </c>
      <c r="J39" s="138">
        <v>6</v>
      </c>
      <c r="K39" s="138">
        <v>0</v>
      </c>
      <c r="L39" s="138">
        <v>0</v>
      </c>
      <c r="M39" s="42" t="s">
        <v>1279</v>
      </c>
      <c r="N39" s="14"/>
      <c r="O39" s="260"/>
      <c r="P39" s="14" t="s">
        <v>1164</v>
      </c>
    </row>
    <row r="40" spans="1:16" ht="135">
      <c r="A40" s="13" t="s">
        <v>1280</v>
      </c>
      <c r="B40" s="15" t="s">
        <v>1281</v>
      </c>
      <c r="C40" s="15" t="s">
        <v>1260</v>
      </c>
      <c r="D40" s="15" t="s">
        <v>49</v>
      </c>
      <c r="E40" s="13" t="s">
        <v>1161</v>
      </c>
      <c r="F40" s="13" t="s">
        <v>1161</v>
      </c>
      <c r="G40" s="13" t="s">
        <v>1162</v>
      </c>
      <c r="H40" s="138">
        <v>3</v>
      </c>
      <c r="I40" s="138">
        <v>0</v>
      </c>
      <c r="J40" s="138">
        <v>6</v>
      </c>
      <c r="K40" s="138">
        <v>0</v>
      </c>
      <c r="L40" s="138">
        <v>0</v>
      </c>
      <c r="M40" s="42" t="s">
        <v>1282</v>
      </c>
      <c r="N40" s="15"/>
      <c r="O40" s="259"/>
      <c r="P40" s="14" t="s">
        <v>1164</v>
      </c>
    </row>
    <row r="41" spans="1:16" ht="135">
      <c r="A41" s="13" t="s">
        <v>1283</v>
      </c>
      <c r="B41" s="15" t="s">
        <v>1284</v>
      </c>
      <c r="C41" s="15" t="s">
        <v>1260</v>
      </c>
      <c r="D41" s="15" t="s">
        <v>49</v>
      </c>
      <c r="E41" s="224"/>
      <c r="F41" s="224"/>
      <c r="G41" s="224"/>
      <c r="H41" s="138">
        <v>3</v>
      </c>
      <c r="I41" s="138">
        <v>0</v>
      </c>
      <c r="J41" s="138">
        <v>6</v>
      </c>
      <c r="K41" s="138">
        <v>0</v>
      </c>
      <c r="L41" s="138">
        <v>0</v>
      </c>
      <c r="M41" s="42" t="s">
        <v>1285</v>
      </c>
      <c r="N41" s="15"/>
      <c r="O41" s="259"/>
      <c r="P41" s="14" t="s">
        <v>1164</v>
      </c>
    </row>
    <row r="42" spans="1:16" ht="135">
      <c r="A42" s="13" t="s">
        <v>1286</v>
      </c>
      <c r="B42" s="15" t="s">
        <v>1287</v>
      </c>
      <c r="C42" s="15" t="s">
        <v>1260</v>
      </c>
      <c r="D42" s="15" t="s">
        <v>49</v>
      </c>
      <c r="E42" s="13" t="s">
        <v>1162</v>
      </c>
      <c r="F42" s="13" t="s">
        <v>1162</v>
      </c>
      <c r="G42" s="13" t="s">
        <v>1162</v>
      </c>
      <c r="H42" s="138">
        <v>3</v>
      </c>
      <c r="I42" s="138">
        <v>0</v>
      </c>
      <c r="J42" s="138">
        <v>6</v>
      </c>
      <c r="K42" s="138">
        <v>0</v>
      </c>
      <c r="L42" s="138">
        <v>0</v>
      </c>
      <c r="M42" s="42" t="s">
        <v>1288</v>
      </c>
      <c r="N42" s="15"/>
      <c r="O42" s="100"/>
      <c r="P42" s="14" t="s">
        <v>1164</v>
      </c>
    </row>
    <row r="43" spans="1:16" ht="180">
      <c r="A43" s="13" t="s">
        <v>1289</v>
      </c>
      <c r="B43" s="15" t="s">
        <v>1290</v>
      </c>
      <c r="C43" s="15" t="s">
        <v>1260</v>
      </c>
      <c r="D43" s="15" t="s">
        <v>49</v>
      </c>
      <c r="E43" s="13" t="s">
        <v>1162</v>
      </c>
      <c r="F43" s="13" t="s">
        <v>1162</v>
      </c>
      <c r="G43" s="13" t="s">
        <v>1162</v>
      </c>
      <c r="H43" s="138">
        <v>3</v>
      </c>
      <c r="I43" s="138">
        <v>0</v>
      </c>
      <c r="J43" s="138">
        <v>6</v>
      </c>
      <c r="K43" s="138">
        <v>0</v>
      </c>
      <c r="L43" s="138">
        <v>0</v>
      </c>
      <c r="M43" s="42" t="s">
        <v>1291</v>
      </c>
      <c r="N43" s="15"/>
      <c r="O43" s="259"/>
      <c r="P43" s="14" t="s">
        <v>1164</v>
      </c>
    </row>
    <row r="44" spans="1:16" ht="135">
      <c r="A44" s="13" t="s">
        <v>1292</v>
      </c>
      <c r="B44" s="15" t="s">
        <v>1293</v>
      </c>
      <c r="C44" s="15" t="s">
        <v>1260</v>
      </c>
      <c r="D44" s="15" t="s">
        <v>49</v>
      </c>
      <c r="E44" s="224"/>
      <c r="F44" s="224"/>
      <c r="G44" s="224"/>
      <c r="H44" s="138">
        <v>3</v>
      </c>
      <c r="I44" s="138">
        <v>0</v>
      </c>
      <c r="J44" s="138">
        <v>6</v>
      </c>
      <c r="K44" s="138">
        <v>0</v>
      </c>
      <c r="L44" s="138">
        <v>0</v>
      </c>
      <c r="M44" s="42" t="s">
        <v>1294</v>
      </c>
      <c r="N44" s="15"/>
      <c r="O44" s="259"/>
      <c r="P44" s="14" t="s">
        <v>1164</v>
      </c>
    </row>
    <row r="45" spans="1:16" ht="135">
      <c r="A45" s="13" t="s">
        <v>1295</v>
      </c>
      <c r="B45" s="15" t="s">
        <v>1296</v>
      </c>
      <c r="C45" s="15" t="s">
        <v>1260</v>
      </c>
      <c r="D45" s="15" t="s">
        <v>49</v>
      </c>
      <c r="E45" s="224"/>
      <c r="F45" s="224"/>
      <c r="G45" s="224"/>
      <c r="H45" s="138">
        <v>3</v>
      </c>
      <c r="I45" s="138">
        <v>0</v>
      </c>
      <c r="J45" s="138">
        <v>6</v>
      </c>
      <c r="K45" s="138">
        <v>0</v>
      </c>
      <c r="L45" s="138">
        <v>0</v>
      </c>
      <c r="M45" s="42" t="s">
        <v>1297</v>
      </c>
      <c r="N45" s="15"/>
      <c r="O45" s="259"/>
      <c r="P45" s="14" t="s">
        <v>1164</v>
      </c>
    </row>
    <row r="46" spans="1:16" ht="135">
      <c r="A46" s="13" t="s">
        <v>1298</v>
      </c>
      <c r="B46" s="15" t="s">
        <v>1299</v>
      </c>
      <c r="C46" s="15" t="s">
        <v>1260</v>
      </c>
      <c r="D46" s="15" t="s">
        <v>49</v>
      </c>
      <c r="E46" s="224"/>
      <c r="F46" s="224"/>
      <c r="G46" s="224"/>
      <c r="H46" s="138">
        <v>3</v>
      </c>
      <c r="I46" s="138">
        <v>0</v>
      </c>
      <c r="J46" s="138">
        <v>6</v>
      </c>
      <c r="K46" s="138">
        <v>0</v>
      </c>
      <c r="L46" s="138">
        <v>0</v>
      </c>
      <c r="M46" s="42" t="s">
        <v>1300</v>
      </c>
      <c r="N46" s="15"/>
      <c r="O46" s="259"/>
      <c r="P46" s="14" t="s">
        <v>1164</v>
      </c>
    </row>
    <row r="47" spans="1:16" ht="150">
      <c r="A47" s="13" t="s">
        <v>1301</v>
      </c>
      <c r="B47" s="15" t="s">
        <v>1302</v>
      </c>
      <c r="C47" s="15" t="s">
        <v>1260</v>
      </c>
      <c r="D47" s="15" t="s">
        <v>49</v>
      </c>
      <c r="E47" s="224"/>
      <c r="F47" s="224"/>
      <c r="G47" s="224"/>
      <c r="H47" s="138">
        <v>3</v>
      </c>
      <c r="I47" s="138">
        <v>0</v>
      </c>
      <c r="J47" s="138">
        <v>6</v>
      </c>
      <c r="K47" s="138">
        <v>0</v>
      </c>
      <c r="L47" s="138">
        <v>0</v>
      </c>
      <c r="M47" s="42" t="s">
        <v>1303</v>
      </c>
      <c r="N47" s="15"/>
      <c r="O47" s="259"/>
      <c r="P47" s="14" t="s">
        <v>1164</v>
      </c>
    </row>
    <row r="48" spans="1:16" ht="150">
      <c r="A48" s="13" t="s">
        <v>1304</v>
      </c>
      <c r="B48" s="15" t="s">
        <v>1305</v>
      </c>
      <c r="C48" s="15" t="s">
        <v>1306</v>
      </c>
      <c r="D48" s="15" t="s">
        <v>49</v>
      </c>
      <c r="E48" s="13" t="s">
        <v>1161</v>
      </c>
      <c r="F48" s="13" t="s">
        <v>1162</v>
      </c>
      <c r="G48" s="13" t="s">
        <v>1161</v>
      </c>
      <c r="H48" s="138">
        <v>3</v>
      </c>
      <c r="I48" s="138">
        <v>3</v>
      </c>
      <c r="J48" s="138">
        <v>0</v>
      </c>
      <c r="K48" s="138">
        <v>0</v>
      </c>
      <c r="L48" s="138">
        <v>0</v>
      </c>
      <c r="M48" s="42" t="s">
        <v>1307</v>
      </c>
      <c r="N48" s="15"/>
      <c r="O48" s="100"/>
      <c r="P48" s="14" t="s">
        <v>1164</v>
      </c>
    </row>
    <row r="49" spans="1:16" ht="150">
      <c r="A49" s="13" t="s">
        <v>1308</v>
      </c>
      <c r="B49" s="15" t="s">
        <v>1309</v>
      </c>
      <c r="C49" s="15" t="s">
        <v>1306</v>
      </c>
      <c r="D49" s="15" t="s">
        <v>49</v>
      </c>
      <c r="E49" s="13" t="s">
        <v>1162</v>
      </c>
      <c r="F49" s="13" t="s">
        <v>1161</v>
      </c>
      <c r="G49" s="13" t="s">
        <v>1161</v>
      </c>
      <c r="H49" s="138">
        <v>3</v>
      </c>
      <c r="I49" s="138">
        <v>3</v>
      </c>
      <c r="J49" s="138">
        <v>0</v>
      </c>
      <c r="K49" s="138">
        <v>0</v>
      </c>
      <c r="L49" s="138">
        <v>0</v>
      </c>
      <c r="M49" s="42" t="s">
        <v>1310</v>
      </c>
      <c r="N49" s="15"/>
      <c r="O49" s="100"/>
      <c r="P49" s="14" t="s">
        <v>1164</v>
      </c>
    </row>
    <row r="50" spans="1:16" ht="165">
      <c r="A50" s="13" t="s">
        <v>1311</v>
      </c>
      <c r="B50" s="15" t="s">
        <v>1312</v>
      </c>
      <c r="C50" s="15" t="s">
        <v>1306</v>
      </c>
      <c r="D50" s="15" t="s">
        <v>49</v>
      </c>
      <c r="E50" s="13" t="s">
        <v>1161</v>
      </c>
      <c r="F50" s="13" t="s">
        <v>1161</v>
      </c>
      <c r="G50" s="13" t="s">
        <v>1162</v>
      </c>
      <c r="H50" s="138">
        <v>3</v>
      </c>
      <c r="I50" s="138">
        <v>3</v>
      </c>
      <c r="J50" s="138">
        <v>0</v>
      </c>
      <c r="K50" s="138">
        <v>0</v>
      </c>
      <c r="L50" s="138">
        <v>0</v>
      </c>
      <c r="M50" s="42" t="s">
        <v>1313</v>
      </c>
      <c r="N50" s="15"/>
      <c r="O50" s="100"/>
      <c r="P50" s="14" t="s">
        <v>1164</v>
      </c>
    </row>
    <row r="51" spans="1:16" ht="150">
      <c r="A51" s="13" t="s">
        <v>1314</v>
      </c>
      <c r="B51" s="15" t="s">
        <v>1315</v>
      </c>
      <c r="C51" s="15" t="s">
        <v>1306</v>
      </c>
      <c r="D51" s="15" t="s">
        <v>49</v>
      </c>
      <c r="E51" s="224"/>
      <c r="F51" s="224"/>
      <c r="G51" s="224"/>
      <c r="H51" s="138">
        <v>3</v>
      </c>
      <c r="I51" s="138">
        <v>3</v>
      </c>
      <c r="J51" s="138">
        <v>0</v>
      </c>
      <c r="K51" s="138">
        <v>0</v>
      </c>
      <c r="L51" s="138">
        <v>0</v>
      </c>
      <c r="M51" s="42" t="s">
        <v>1316</v>
      </c>
      <c r="N51" s="13"/>
      <c r="O51" s="259"/>
      <c r="P51" s="14" t="s">
        <v>1164</v>
      </c>
    </row>
    <row r="52" spans="1:16" ht="150">
      <c r="A52" s="13" t="s">
        <v>1317</v>
      </c>
      <c r="B52" s="15" t="s">
        <v>1318</v>
      </c>
      <c r="C52" s="15" t="s">
        <v>1319</v>
      </c>
      <c r="D52" s="15" t="s">
        <v>49</v>
      </c>
      <c r="E52" s="13" t="s">
        <v>1162</v>
      </c>
      <c r="F52" s="13" t="s">
        <v>1161</v>
      </c>
      <c r="G52" s="13" t="s">
        <v>1162</v>
      </c>
      <c r="H52" s="138">
        <v>3</v>
      </c>
      <c r="I52" s="138">
        <v>3</v>
      </c>
      <c r="J52" s="138">
        <v>0</v>
      </c>
      <c r="K52" s="138">
        <v>0</v>
      </c>
      <c r="L52" s="138">
        <v>0</v>
      </c>
      <c r="M52" s="42" t="s">
        <v>1320</v>
      </c>
      <c r="N52" s="15"/>
      <c r="O52" s="100"/>
      <c r="P52" s="14" t="s">
        <v>1164</v>
      </c>
    </row>
    <row r="53" spans="1:16" ht="150">
      <c r="A53" s="13" t="s">
        <v>1321</v>
      </c>
      <c r="B53" s="15" t="s">
        <v>1322</v>
      </c>
      <c r="C53" s="15" t="s">
        <v>1319</v>
      </c>
      <c r="D53" s="15" t="s">
        <v>49</v>
      </c>
      <c r="E53" s="13" t="s">
        <v>1162</v>
      </c>
      <c r="F53" s="13" t="s">
        <v>1161</v>
      </c>
      <c r="G53" s="13" t="s">
        <v>1162</v>
      </c>
      <c r="H53" s="138">
        <v>1</v>
      </c>
      <c r="I53" s="138">
        <v>0</v>
      </c>
      <c r="J53" s="138">
        <v>2</v>
      </c>
      <c r="K53" s="138">
        <v>0</v>
      </c>
      <c r="L53" s="138">
        <v>0</v>
      </c>
      <c r="M53" s="42" t="s">
        <v>1323</v>
      </c>
      <c r="N53" s="15"/>
      <c r="O53" s="259"/>
      <c r="P53" s="14" t="s">
        <v>1164</v>
      </c>
    </row>
    <row r="54" spans="1:16" ht="90">
      <c r="A54" s="13" t="s">
        <v>1324</v>
      </c>
      <c r="B54" s="15" t="s">
        <v>1325</v>
      </c>
      <c r="C54" s="15" t="s">
        <v>1326</v>
      </c>
      <c r="D54" s="15" t="s">
        <v>49</v>
      </c>
      <c r="E54" s="13" t="s">
        <v>1162</v>
      </c>
      <c r="F54" s="13" t="s">
        <v>1161</v>
      </c>
      <c r="G54" s="13" t="s">
        <v>1162</v>
      </c>
      <c r="H54" s="138">
        <v>3</v>
      </c>
      <c r="I54" s="138">
        <v>2</v>
      </c>
      <c r="J54" s="138">
        <v>3</v>
      </c>
      <c r="K54" s="138">
        <v>0</v>
      </c>
      <c r="L54" s="138">
        <v>0</v>
      </c>
      <c r="M54" s="15" t="s">
        <v>1327</v>
      </c>
      <c r="N54" s="15"/>
      <c r="O54" s="259"/>
      <c r="P54" s="14" t="s">
        <v>1164</v>
      </c>
    </row>
    <row r="55" spans="1:16" ht="105">
      <c r="A55" s="13" t="s">
        <v>1328</v>
      </c>
      <c r="B55" s="15" t="s">
        <v>1329</v>
      </c>
      <c r="C55" s="15" t="s">
        <v>1326</v>
      </c>
      <c r="D55" s="15" t="s">
        <v>49</v>
      </c>
      <c r="E55" s="13" t="s">
        <v>1162</v>
      </c>
      <c r="F55" s="13" t="s">
        <v>1161</v>
      </c>
      <c r="G55" s="13" t="s">
        <v>1162</v>
      </c>
      <c r="H55" s="138">
        <v>3</v>
      </c>
      <c r="I55" s="138">
        <v>2</v>
      </c>
      <c r="J55" s="138">
        <v>2</v>
      </c>
      <c r="K55" s="138">
        <v>0</v>
      </c>
      <c r="L55" s="138">
        <v>0</v>
      </c>
      <c r="M55" s="15" t="s">
        <v>1330</v>
      </c>
      <c r="N55" s="15"/>
      <c r="O55" s="259"/>
      <c r="P55" s="14" t="s">
        <v>1164</v>
      </c>
    </row>
    <row r="56" spans="1:16" ht="90">
      <c r="A56" s="13" t="s">
        <v>1331</v>
      </c>
      <c r="B56" s="15" t="s">
        <v>1332</v>
      </c>
      <c r="C56" s="15" t="s">
        <v>1326</v>
      </c>
      <c r="D56" s="15" t="s">
        <v>49</v>
      </c>
      <c r="E56" s="13" t="s">
        <v>1162</v>
      </c>
      <c r="F56" s="13" t="s">
        <v>1161</v>
      </c>
      <c r="G56" s="13" t="s">
        <v>1162</v>
      </c>
      <c r="H56" s="138">
        <v>3</v>
      </c>
      <c r="I56" s="138">
        <v>3</v>
      </c>
      <c r="J56" s="138">
        <v>2</v>
      </c>
      <c r="K56" s="138">
        <v>0</v>
      </c>
      <c r="L56" s="138">
        <v>0</v>
      </c>
      <c r="M56" s="15" t="s">
        <v>1333</v>
      </c>
      <c r="N56" s="15"/>
      <c r="O56" s="259"/>
      <c r="P56" s="14" t="s">
        <v>1164</v>
      </c>
    </row>
    <row r="57" spans="1:16" ht="165">
      <c r="A57" s="13" t="s">
        <v>1334</v>
      </c>
      <c r="B57" s="15" t="s">
        <v>1335</v>
      </c>
      <c r="C57" s="15" t="s">
        <v>1336</v>
      </c>
      <c r="D57" s="15" t="s">
        <v>49</v>
      </c>
      <c r="E57" s="13" t="s">
        <v>1161</v>
      </c>
      <c r="F57" s="13" t="s">
        <v>1161</v>
      </c>
      <c r="G57" s="13" t="s">
        <v>1161</v>
      </c>
      <c r="H57" s="138">
        <v>4</v>
      </c>
      <c r="I57" s="138">
        <v>3</v>
      </c>
      <c r="J57" s="138">
        <v>3</v>
      </c>
      <c r="K57" s="138">
        <v>0</v>
      </c>
      <c r="L57" s="138">
        <v>0</v>
      </c>
      <c r="M57" s="42" t="s">
        <v>1337</v>
      </c>
      <c r="N57" s="15"/>
      <c r="O57" s="100"/>
      <c r="P57" s="14" t="s">
        <v>1164</v>
      </c>
    </row>
    <row r="58" spans="1:16" ht="165">
      <c r="A58" s="13" t="s">
        <v>1338</v>
      </c>
      <c r="B58" s="15" t="s">
        <v>1339</v>
      </c>
      <c r="C58" s="15" t="s">
        <v>1336</v>
      </c>
      <c r="D58" s="15" t="s">
        <v>49</v>
      </c>
      <c r="E58" s="13" t="s">
        <v>1161</v>
      </c>
      <c r="F58" s="13" t="s">
        <v>1161</v>
      </c>
      <c r="G58" s="13" t="s">
        <v>1161</v>
      </c>
      <c r="H58" s="138">
        <v>4</v>
      </c>
      <c r="I58" s="138">
        <v>3</v>
      </c>
      <c r="J58" s="138">
        <v>3</v>
      </c>
      <c r="K58" s="138">
        <v>0</v>
      </c>
      <c r="L58" s="138">
        <v>0</v>
      </c>
      <c r="M58" s="42" t="s">
        <v>1340</v>
      </c>
      <c r="N58" s="15"/>
      <c r="O58" s="100"/>
      <c r="P58" s="14" t="s">
        <v>1164</v>
      </c>
    </row>
    <row r="59" spans="1:16" ht="150">
      <c r="A59" s="13" t="s">
        <v>1341</v>
      </c>
      <c r="B59" s="15" t="s">
        <v>1342</v>
      </c>
      <c r="C59" s="15" t="s">
        <v>1336</v>
      </c>
      <c r="D59" s="15" t="s">
        <v>49</v>
      </c>
      <c r="E59" s="13" t="s">
        <v>1161</v>
      </c>
      <c r="F59" s="13" t="s">
        <v>1161</v>
      </c>
      <c r="G59" s="13" t="s">
        <v>1161</v>
      </c>
      <c r="H59" s="138">
        <v>4</v>
      </c>
      <c r="I59" s="138">
        <v>3</v>
      </c>
      <c r="J59" s="138">
        <v>3</v>
      </c>
      <c r="K59" s="138">
        <v>0</v>
      </c>
      <c r="L59" s="138">
        <v>0</v>
      </c>
      <c r="M59" s="42" t="s">
        <v>1343</v>
      </c>
      <c r="N59" s="15"/>
      <c r="O59" s="100"/>
      <c r="P59" s="14" t="s">
        <v>1164</v>
      </c>
    </row>
    <row r="60" spans="1:16" ht="150">
      <c r="A60" s="13" t="s">
        <v>1344</v>
      </c>
      <c r="B60" s="15" t="s">
        <v>1345</v>
      </c>
      <c r="C60" s="15" t="s">
        <v>1336</v>
      </c>
      <c r="D60" s="15" t="s">
        <v>49</v>
      </c>
      <c r="E60" s="224"/>
      <c r="F60" s="224"/>
      <c r="G60" s="224"/>
      <c r="H60" s="138">
        <v>3</v>
      </c>
      <c r="I60" s="138">
        <v>3</v>
      </c>
      <c r="J60" s="138">
        <v>0</v>
      </c>
      <c r="K60" s="138">
        <v>0</v>
      </c>
      <c r="L60" s="138">
        <v>0</v>
      </c>
      <c r="M60" s="42" t="s">
        <v>1346</v>
      </c>
      <c r="N60" s="15"/>
      <c r="O60" s="100"/>
      <c r="P60" s="14" t="s">
        <v>1164</v>
      </c>
    </row>
    <row r="61" spans="1:16" ht="120">
      <c r="A61" s="13" t="s">
        <v>1347</v>
      </c>
      <c r="B61" s="15" t="s">
        <v>1348</v>
      </c>
      <c r="C61" s="15" t="s">
        <v>1336</v>
      </c>
      <c r="D61" s="15" t="s">
        <v>49</v>
      </c>
      <c r="E61" s="224"/>
      <c r="F61" s="224"/>
      <c r="G61" s="224"/>
      <c r="H61" s="138">
        <v>1</v>
      </c>
      <c r="I61" s="138">
        <v>0</v>
      </c>
      <c r="J61" s="138">
        <v>3</v>
      </c>
      <c r="K61" s="138">
        <v>0</v>
      </c>
      <c r="L61" s="138">
        <v>0</v>
      </c>
      <c r="M61" s="42" t="s">
        <v>1349</v>
      </c>
      <c r="N61" s="15"/>
      <c r="O61" s="259"/>
      <c r="P61" s="14" t="s">
        <v>1164</v>
      </c>
    </row>
    <row r="62" spans="1:16" ht="165">
      <c r="A62" s="13" t="s">
        <v>1350</v>
      </c>
      <c r="B62" s="15" t="s">
        <v>1351</v>
      </c>
      <c r="C62" s="15" t="s">
        <v>1336</v>
      </c>
      <c r="D62" s="15" t="s">
        <v>49</v>
      </c>
      <c r="E62" s="13" t="s">
        <v>1161</v>
      </c>
      <c r="F62" s="13" t="s">
        <v>1161</v>
      </c>
      <c r="G62" s="13" t="s">
        <v>1161</v>
      </c>
      <c r="H62" s="138">
        <v>5</v>
      </c>
      <c r="I62" s="138">
        <v>4</v>
      </c>
      <c r="J62" s="138">
        <v>2</v>
      </c>
      <c r="K62" s="138">
        <v>0</v>
      </c>
      <c r="L62" s="138">
        <v>0</v>
      </c>
      <c r="M62" s="42" t="s">
        <v>1352</v>
      </c>
      <c r="N62" s="15"/>
      <c r="O62" s="100"/>
      <c r="P62" s="14" t="s">
        <v>1164</v>
      </c>
    </row>
    <row r="63" spans="1:16" ht="165">
      <c r="A63" s="13" t="s">
        <v>1353</v>
      </c>
      <c r="B63" s="15" t="s">
        <v>1354</v>
      </c>
      <c r="C63" s="15" t="s">
        <v>1336</v>
      </c>
      <c r="D63" s="15" t="s">
        <v>49</v>
      </c>
      <c r="E63" s="13" t="s">
        <v>1161</v>
      </c>
      <c r="F63" s="13" t="s">
        <v>1161</v>
      </c>
      <c r="G63" s="13" t="s">
        <v>1161</v>
      </c>
      <c r="H63" s="138">
        <v>4</v>
      </c>
      <c r="I63" s="138">
        <v>3</v>
      </c>
      <c r="J63" s="138">
        <v>3</v>
      </c>
      <c r="K63" s="138">
        <v>0</v>
      </c>
      <c r="L63" s="138">
        <v>0</v>
      </c>
      <c r="M63" s="42" t="s">
        <v>1355</v>
      </c>
      <c r="N63" s="15"/>
      <c r="O63" s="100"/>
      <c r="P63" s="14" t="s">
        <v>1164</v>
      </c>
    </row>
    <row r="64" spans="1:16" ht="165">
      <c r="A64" s="13" t="s">
        <v>1356</v>
      </c>
      <c r="B64" s="15" t="s">
        <v>1357</v>
      </c>
      <c r="C64" s="15" t="s">
        <v>1336</v>
      </c>
      <c r="D64" s="15" t="s">
        <v>49</v>
      </c>
      <c r="E64" s="13" t="s">
        <v>1161</v>
      </c>
      <c r="F64" s="13" t="s">
        <v>1161</v>
      </c>
      <c r="G64" s="13" t="s">
        <v>1161</v>
      </c>
      <c r="H64" s="138">
        <v>4</v>
      </c>
      <c r="I64" s="138">
        <v>3</v>
      </c>
      <c r="J64" s="138">
        <v>3</v>
      </c>
      <c r="K64" s="138">
        <v>0</v>
      </c>
      <c r="L64" s="138">
        <v>0</v>
      </c>
      <c r="M64" s="42" t="s">
        <v>1358</v>
      </c>
      <c r="N64" s="15"/>
      <c r="O64" s="100"/>
      <c r="P64" s="14" t="s">
        <v>1164</v>
      </c>
    </row>
    <row r="65" spans="1:16" ht="180">
      <c r="A65" s="13" t="s">
        <v>1359</v>
      </c>
      <c r="B65" s="15" t="s">
        <v>1360</v>
      </c>
      <c r="C65" s="15" t="s">
        <v>1336</v>
      </c>
      <c r="D65" s="15" t="s">
        <v>49</v>
      </c>
      <c r="E65" s="13" t="s">
        <v>1161</v>
      </c>
      <c r="F65" s="13" t="s">
        <v>1161</v>
      </c>
      <c r="G65" s="13" t="s">
        <v>1161</v>
      </c>
      <c r="H65" s="138">
        <v>4</v>
      </c>
      <c r="I65" s="138">
        <v>3</v>
      </c>
      <c r="J65" s="138">
        <v>3</v>
      </c>
      <c r="K65" s="138">
        <v>0</v>
      </c>
      <c r="L65" s="138">
        <v>0</v>
      </c>
      <c r="M65" s="42" t="s">
        <v>1361</v>
      </c>
      <c r="N65" s="15"/>
      <c r="O65" s="100"/>
      <c r="P65" s="14" t="s">
        <v>1164</v>
      </c>
    </row>
    <row r="66" spans="1:16" ht="120">
      <c r="A66" s="13" t="s">
        <v>1362</v>
      </c>
      <c r="B66" s="15" t="s">
        <v>1363</v>
      </c>
      <c r="C66" s="15" t="s">
        <v>1364</v>
      </c>
      <c r="D66" s="15" t="s">
        <v>49</v>
      </c>
      <c r="E66" s="13" t="s">
        <v>1161</v>
      </c>
      <c r="F66" s="13" t="s">
        <v>1161</v>
      </c>
      <c r="G66" s="13" t="s">
        <v>1161</v>
      </c>
      <c r="H66" s="138">
        <v>3</v>
      </c>
      <c r="I66" s="138">
        <v>3</v>
      </c>
      <c r="J66" s="138">
        <v>0</v>
      </c>
      <c r="K66" s="138">
        <v>0</v>
      </c>
      <c r="L66" s="138">
        <v>0</v>
      </c>
      <c r="M66" s="42" t="s">
        <v>1365</v>
      </c>
      <c r="N66" s="15"/>
      <c r="O66" s="100"/>
      <c r="P66" s="14" t="s">
        <v>1164</v>
      </c>
    </row>
    <row r="67" spans="1:16" ht="150">
      <c r="A67" s="13" t="s">
        <v>1366</v>
      </c>
      <c r="B67" s="15" t="s">
        <v>1367</v>
      </c>
      <c r="C67" s="15" t="s">
        <v>1364</v>
      </c>
      <c r="D67" s="15" t="s">
        <v>49</v>
      </c>
      <c r="E67" s="13" t="s">
        <v>1161</v>
      </c>
      <c r="F67" s="13" t="s">
        <v>1161</v>
      </c>
      <c r="G67" s="13" t="s">
        <v>1162</v>
      </c>
      <c r="H67" s="138">
        <v>3</v>
      </c>
      <c r="I67" s="138">
        <v>3</v>
      </c>
      <c r="J67" s="138">
        <v>0</v>
      </c>
      <c r="K67" s="138">
        <v>0</v>
      </c>
      <c r="L67" s="138">
        <v>0</v>
      </c>
      <c r="M67" s="42" t="s">
        <v>1368</v>
      </c>
      <c r="N67" s="15"/>
      <c r="O67" s="100"/>
      <c r="P67" s="14" t="s">
        <v>1164</v>
      </c>
    </row>
    <row r="68" spans="1:16" ht="75">
      <c r="A68" s="13" t="s">
        <v>1369</v>
      </c>
      <c r="B68" s="15" t="s">
        <v>1370</v>
      </c>
      <c r="C68" s="15" t="s">
        <v>1364</v>
      </c>
      <c r="D68" s="15" t="s">
        <v>49</v>
      </c>
      <c r="E68" s="13" t="s">
        <v>1161</v>
      </c>
      <c r="F68" s="13" t="s">
        <v>1161</v>
      </c>
      <c r="G68" s="13" t="s">
        <v>1162</v>
      </c>
      <c r="H68" s="138">
        <v>3</v>
      </c>
      <c r="I68" s="138">
        <v>2</v>
      </c>
      <c r="J68" s="138">
        <v>2</v>
      </c>
      <c r="K68" s="138">
        <v>0</v>
      </c>
      <c r="L68" s="138">
        <v>0</v>
      </c>
      <c r="M68" s="15" t="s">
        <v>1371</v>
      </c>
      <c r="N68" s="15"/>
      <c r="O68" s="100"/>
      <c r="P68" s="14" t="s">
        <v>1164</v>
      </c>
    </row>
    <row r="69" spans="1:16" ht="60">
      <c r="A69" s="13" t="s">
        <v>1372</v>
      </c>
      <c r="B69" s="15" t="s">
        <v>1373</v>
      </c>
      <c r="C69" s="15" t="s">
        <v>1364</v>
      </c>
      <c r="D69" s="15" t="s">
        <v>49</v>
      </c>
      <c r="E69" s="13" t="s">
        <v>1161</v>
      </c>
      <c r="F69" s="13" t="s">
        <v>1161</v>
      </c>
      <c r="G69" s="13" t="s">
        <v>1161</v>
      </c>
      <c r="H69" s="138">
        <v>3</v>
      </c>
      <c r="I69" s="138">
        <v>3</v>
      </c>
      <c r="J69" s="138">
        <v>0</v>
      </c>
      <c r="K69" s="138">
        <v>0</v>
      </c>
      <c r="L69" s="138">
        <v>0</v>
      </c>
      <c r="M69" s="15" t="s">
        <v>1374</v>
      </c>
      <c r="N69" s="15"/>
      <c r="O69" s="100"/>
      <c r="P69" s="14" t="s">
        <v>1164</v>
      </c>
    </row>
    <row r="70" spans="1:16" ht="120">
      <c r="A70" s="13" t="s">
        <v>1375</v>
      </c>
      <c r="B70" s="15" t="s">
        <v>1376</v>
      </c>
      <c r="C70" s="15" t="s">
        <v>1364</v>
      </c>
      <c r="D70" s="15" t="s">
        <v>49</v>
      </c>
      <c r="E70" s="13" t="s">
        <v>1161</v>
      </c>
      <c r="F70" s="13" t="s">
        <v>1161</v>
      </c>
      <c r="G70" s="13" t="s">
        <v>1162</v>
      </c>
      <c r="H70" s="138">
        <v>3</v>
      </c>
      <c r="I70" s="138">
        <v>3</v>
      </c>
      <c r="J70" s="138">
        <v>0</v>
      </c>
      <c r="K70" s="138">
        <v>0</v>
      </c>
      <c r="L70" s="138">
        <v>0</v>
      </c>
      <c r="M70" s="42" t="s">
        <v>1377</v>
      </c>
      <c r="N70" s="15"/>
      <c r="O70" s="100"/>
      <c r="P70" s="14" t="s">
        <v>1164</v>
      </c>
    </row>
    <row r="71" spans="1:16" ht="90">
      <c r="A71" s="13" t="s">
        <v>1378</v>
      </c>
      <c r="B71" s="15" t="s">
        <v>1379</v>
      </c>
      <c r="C71" s="15" t="s">
        <v>1364</v>
      </c>
      <c r="D71" s="15" t="s">
        <v>49</v>
      </c>
      <c r="E71" s="13" t="s">
        <v>1162</v>
      </c>
      <c r="F71" s="13" t="s">
        <v>1162</v>
      </c>
      <c r="G71" s="13" t="s">
        <v>1161</v>
      </c>
      <c r="H71" s="138">
        <v>3</v>
      </c>
      <c r="I71" s="138">
        <v>3</v>
      </c>
      <c r="J71" s="138">
        <v>0</v>
      </c>
      <c r="K71" s="138">
        <v>0</v>
      </c>
      <c r="L71" s="138">
        <v>0</v>
      </c>
      <c r="M71" s="15" t="s">
        <v>1380</v>
      </c>
      <c r="N71" s="15"/>
      <c r="O71" s="100"/>
      <c r="P71" s="14" t="s">
        <v>1164</v>
      </c>
    </row>
    <row r="72" spans="1:16" ht="90">
      <c r="A72" s="13" t="s">
        <v>1381</v>
      </c>
      <c r="B72" s="15" t="s">
        <v>1382</v>
      </c>
      <c r="C72" s="15" t="s">
        <v>1364</v>
      </c>
      <c r="D72" s="15" t="s">
        <v>49</v>
      </c>
      <c r="E72" s="13" t="s">
        <v>1161</v>
      </c>
      <c r="F72" s="13" t="s">
        <v>1161</v>
      </c>
      <c r="G72" s="13" t="s">
        <v>1162</v>
      </c>
      <c r="H72" s="138">
        <v>3</v>
      </c>
      <c r="I72" s="138">
        <v>3</v>
      </c>
      <c r="J72" s="138">
        <v>0</v>
      </c>
      <c r="K72" s="138">
        <v>0</v>
      </c>
      <c r="L72" s="138">
        <v>0</v>
      </c>
      <c r="M72" s="15" t="s">
        <v>1383</v>
      </c>
      <c r="N72" s="15"/>
      <c r="O72" s="100"/>
      <c r="P72" s="14" t="s">
        <v>1164</v>
      </c>
    </row>
    <row r="73" spans="1:16" ht="90">
      <c r="A73" s="13" t="s">
        <v>1384</v>
      </c>
      <c r="B73" s="15" t="s">
        <v>1385</v>
      </c>
      <c r="C73" s="15" t="s">
        <v>1364</v>
      </c>
      <c r="D73" s="15" t="s">
        <v>49</v>
      </c>
      <c r="E73" s="13" t="s">
        <v>1161</v>
      </c>
      <c r="F73" s="13" t="s">
        <v>1162</v>
      </c>
      <c r="G73" s="13" t="s">
        <v>1162</v>
      </c>
      <c r="H73" s="138">
        <v>3</v>
      </c>
      <c r="I73" s="138">
        <v>3</v>
      </c>
      <c r="J73" s="138">
        <v>0</v>
      </c>
      <c r="K73" s="138">
        <v>0</v>
      </c>
      <c r="L73" s="138">
        <v>0</v>
      </c>
      <c r="M73" s="15" t="s">
        <v>1386</v>
      </c>
      <c r="N73" s="15"/>
      <c r="O73" s="100"/>
      <c r="P73" s="14" t="s">
        <v>1164</v>
      </c>
    </row>
    <row r="74" spans="1:16" ht="75">
      <c r="A74" s="13" t="s">
        <v>1387</v>
      </c>
      <c r="B74" s="15" t="s">
        <v>1388</v>
      </c>
      <c r="C74" s="15" t="s">
        <v>1364</v>
      </c>
      <c r="D74" s="15" t="s">
        <v>49</v>
      </c>
      <c r="E74" s="13" t="s">
        <v>1161</v>
      </c>
      <c r="F74" s="13" t="s">
        <v>1161</v>
      </c>
      <c r="G74" s="13" t="s">
        <v>1162</v>
      </c>
      <c r="H74" s="138">
        <v>3</v>
      </c>
      <c r="I74" s="138">
        <v>3</v>
      </c>
      <c r="J74" s="138">
        <v>0</v>
      </c>
      <c r="K74" s="138">
        <v>0</v>
      </c>
      <c r="L74" s="138">
        <v>0</v>
      </c>
      <c r="M74" s="15" t="s">
        <v>1389</v>
      </c>
      <c r="N74" s="15"/>
      <c r="O74" s="100"/>
      <c r="P74" s="14" t="s">
        <v>1164</v>
      </c>
    </row>
    <row r="75" spans="1:16" ht="75">
      <c r="A75" s="13" t="s">
        <v>1390</v>
      </c>
      <c r="B75" s="15" t="s">
        <v>1391</v>
      </c>
      <c r="C75" s="15" t="s">
        <v>1364</v>
      </c>
      <c r="D75" s="15" t="s">
        <v>49</v>
      </c>
      <c r="E75" s="13" t="s">
        <v>1161</v>
      </c>
      <c r="F75" s="13" t="s">
        <v>1162</v>
      </c>
      <c r="G75" s="13" t="s">
        <v>1162</v>
      </c>
      <c r="H75" s="138">
        <v>3</v>
      </c>
      <c r="I75" s="138">
        <v>3</v>
      </c>
      <c r="J75" s="138">
        <v>0</v>
      </c>
      <c r="K75" s="138">
        <v>0</v>
      </c>
      <c r="L75" s="138">
        <v>0</v>
      </c>
      <c r="M75" s="15" t="s">
        <v>1392</v>
      </c>
      <c r="N75" s="15"/>
      <c r="O75" s="100"/>
      <c r="P75" s="14" t="s">
        <v>1164</v>
      </c>
    </row>
    <row r="76" spans="1:16" ht="75">
      <c r="A76" s="13" t="s">
        <v>1393</v>
      </c>
      <c r="B76" s="15" t="s">
        <v>1394</v>
      </c>
      <c r="C76" s="15" t="s">
        <v>1364</v>
      </c>
      <c r="D76" s="15" t="s">
        <v>49</v>
      </c>
      <c r="E76" s="13" t="s">
        <v>1162</v>
      </c>
      <c r="F76" s="13" t="s">
        <v>1161</v>
      </c>
      <c r="G76" s="13" t="s">
        <v>1162</v>
      </c>
      <c r="H76" s="138">
        <v>3</v>
      </c>
      <c r="I76" s="138">
        <v>2</v>
      </c>
      <c r="J76" s="138">
        <v>2</v>
      </c>
      <c r="K76" s="138">
        <v>0</v>
      </c>
      <c r="L76" s="138">
        <v>0</v>
      </c>
      <c r="M76" s="15" t="s">
        <v>1395</v>
      </c>
      <c r="N76" s="15"/>
      <c r="O76" s="100"/>
      <c r="P76" s="14" t="s">
        <v>1164</v>
      </c>
    </row>
    <row r="77" spans="1:16" ht="90">
      <c r="A77" s="13" t="s">
        <v>1396</v>
      </c>
      <c r="B77" s="15" t="s">
        <v>1397</v>
      </c>
      <c r="C77" s="15" t="s">
        <v>1364</v>
      </c>
      <c r="D77" s="15" t="s">
        <v>49</v>
      </c>
      <c r="E77" s="13" t="s">
        <v>1162</v>
      </c>
      <c r="F77" s="13" t="s">
        <v>1161</v>
      </c>
      <c r="G77" s="13" t="s">
        <v>1162</v>
      </c>
      <c r="H77" s="138">
        <v>3</v>
      </c>
      <c r="I77" s="138">
        <v>3</v>
      </c>
      <c r="J77" s="138">
        <v>0</v>
      </c>
      <c r="K77" s="138">
        <v>0</v>
      </c>
      <c r="L77" s="138">
        <v>0</v>
      </c>
      <c r="M77" s="15" t="s">
        <v>1398</v>
      </c>
      <c r="N77" s="15"/>
      <c r="O77" s="100"/>
      <c r="P77" s="14" t="s">
        <v>1164</v>
      </c>
    </row>
    <row r="78" spans="1:16" ht="60">
      <c r="A78" s="13" t="s">
        <v>1399</v>
      </c>
      <c r="B78" s="15" t="s">
        <v>1400</v>
      </c>
      <c r="C78" s="15" t="s">
        <v>1364</v>
      </c>
      <c r="D78" s="15" t="s">
        <v>49</v>
      </c>
      <c r="E78" s="13" t="s">
        <v>1162</v>
      </c>
      <c r="F78" s="13" t="s">
        <v>1161</v>
      </c>
      <c r="G78" s="13" t="s">
        <v>1162</v>
      </c>
      <c r="H78" s="138">
        <v>3</v>
      </c>
      <c r="I78" s="138">
        <v>3</v>
      </c>
      <c r="J78" s="138">
        <v>0</v>
      </c>
      <c r="K78" s="138">
        <v>0</v>
      </c>
      <c r="L78" s="138">
        <v>0</v>
      </c>
      <c r="M78" s="15" t="s">
        <v>1401</v>
      </c>
      <c r="N78" s="15"/>
      <c r="O78" s="100"/>
      <c r="P78" s="14" t="s">
        <v>1164</v>
      </c>
    </row>
    <row r="79" spans="1:16" ht="75">
      <c r="A79" s="13" t="s">
        <v>1402</v>
      </c>
      <c r="B79" s="15" t="s">
        <v>1403</v>
      </c>
      <c r="C79" s="15" t="s">
        <v>1404</v>
      </c>
      <c r="D79" s="15" t="s">
        <v>49</v>
      </c>
      <c r="E79" s="13" t="s">
        <v>1161</v>
      </c>
      <c r="F79" s="13" t="s">
        <v>1162</v>
      </c>
      <c r="G79" s="13" t="s">
        <v>1162</v>
      </c>
      <c r="H79" s="138">
        <v>3</v>
      </c>
      <c r="I79" s="138">
        <v>3</v>
      </c>
      <c r="J79" s="138">
        <v>0</v>
      </c>
      <c r="K79" s="138">
        <v>0</v>
      </c>
      <c r="L79" s="138">
        <v>0</v>
      </c>
      <c r="M79" s="15" t="s">
        <v>1405</v>
      </c>
      <c r="N79" s="15"/>
      <c r="O79" s="100"/>
      <c r="P79" s="14" t="s">
        <v>1164</v>
      </c>
    </row>
    <row r="80" spans="1:16" ht="120">
      <c r="A80" s="13" t="s">
        <v>1406</v>
      </c>
      <c r="B80" s="15" t="s">
        <v>1407</v>
      </c>
      <c r="C80" s="15" t="s">
        <v>1404</v>
      </c>
      <c r="D80" s="15" t="s">
        <v>49</v>
      </c>
      <c r="E80" s="13" t="s">
        <v>1162</v>
      </c>
      <c r="F80" s="13" t="s">
        <v>1161</v>
      </c>
      <c r="G80" s="13" t="s">
        <v>1162</v>
      </c>
      <c r="H80" s="138">
        <v>3</v>
      </c>
      <c r="I80" s="138">
        <v>3</v>
      </c>
      <c r="J80" s="138">
        <v>0</v>
      </c>
      <c r="K80" s="138">
        <v>0</v>
      </c>
      <c r="L80" s="138">
        <v>0</v>
      </c>
      <c r="M80" s="15" t="s">
        <v>1408</v>
      </c>
      <c r="N80" s="15"/>
      <c r="O80" s="100"/>
      <c r="P80" s="14" t="s">
        <v>1164</v>
      </c>
    </row>
    <row r="81" spans="1:16" ht="105">
      <c r="A81" s="13" t="s">
        <v>1409</v>
      </c>
      <c r="B81" s="15" t="s">
        <v>1410</v>
      </c>
      <c r="C81" s="15" t="s">
        <v>1404</v>
      </c>
      <c r="D81" s="15" t="s">
        <v>49</v>
      </c>
      <c r="E81" s="13" t="s">
        <v>1161</v>
      </c>
      <c r="F81" s="13" t="s">
        <v>1162</v>
      </c>
      <c r="G81" s="13" t="s">
        <v>1162</v>
      </c>
      <c r="H81" s="138">
        <v>3</v>
      </c>
      <c r="I81" s="138">
        <v>3</v>
      </c>
      <c r="J81" s="138">
        <v>0</v>
      </c>
      <c r="K81" s="138">
        <v>0</v>
      </c>
      <c r="L81" s="138">
        <v>0</v>
      </c>
      <c r="M81" s="15" t="s">
        <v>1411</v>
      </c>
      <c r="N81" s="15"/>
      <c r="O81" s="100"/>
      <c r="P81" s="14" t="s">
        <v>1164</v>
      </c>
    </row>
    <row r="82" spans="1:16" ht="135">
      <c r="A82" s="13" t="s">
        <v>1412</v>
      </c>
      <c r="B82" s="15" t="s">
        <v>1413</v>
      </c>
      <c r="C82" s="15" t="s">
        <v>1404</v>
      </c>
      <c r="D82" s="15" t="s">
        <v>49</v>
      </c>
      <c r="E82" s="13" t="s">
        <v>1162</v>
      </c>
      <c r="F82" s="13" t="s">
        <v>1161</v>
      </c>
      <c r="G82" s="13" t="s">
        <v>1162</v>
      </c>
      <c r="H82" s="138">
        <v>3</v>
      </c>
      <c r="I82" s="138">
        <v>3</v>
      </c>
      <c r="J82" s="138">
        <v>0</v>
      </c>
      <c r="K82" s="138">
        <v>0</v>
      </c>
      <c r="L82" s="138">
        <v>0</v>
      </c>
      <c r="M82" s="15" t="s">
        <v>1414</v>
      </c>
      <c r="N82" s="15"/>
      <c r="O82" s="100"/>
      <c r="P82" s="14" t="s">
        <v>1164</v>
      </c>
    </row>
    <row r="83" spans="1:16" ht="150">
      <c r="A83" s="13" t="s">
        <v>1415</v>
      </c>
      <c r="B83" s="15" t="s">
        <v>1416</v>
      </c>
      <c r="C83" s="15" t="s">
        <v>1417</v>
      </c>
      <c r="D83" s="15" t="s">
        <v>49</v>
      </c>
      <c r="E83" s="13" t="s">
        <v>1161</v>
      </c>
      <c r="F83" s="13" t="s">
        <v>1161</v>
      </c>
      <c r="G83" s="13" t="s">
        <v>1162</v>
      </c>
      <c r="H83" s="138">
        <v>3</v>
      </c>
      <c r="I83" s="138">
        <v>3</v>
      </c>
      <c r="J83" s="138">
        <v>0</v>
      </c>
      <c r="K83" s="138">
        <v>0</v>
      </c>
      <c r="L83" s="138">
        <v>0</v>
      </c>
      <c r="M83" s="42" t="s">
        <v>1418</v>
      </c>
      <c r="N83" s="15"/>
      <c r="O83" s="100"/>
      <c r="P83" s="14" t="s">
        <v>1164</v>
      </c>
    </row>
    <row r="84" spans="1:16" ht="120">
      <c r="A84" s="13" t="s">
        <v>1419</v>
      </c>
      <c r="B84" s="15" t="s">
        <v>1420</v>
      </c>
      <c r="C84" s="15" t="s">
        <v>1417</v>
      </c>
      <c r="D84" s="15" t="s">
        <v>49</v>
      </c>
      <c r="E84" s="13" t="s">
        <v>1161</v>
      </c>
      <c r="F84" s="13" t="s">
        <v>1161</v>
      </c>
      <c r="G84" s="13" t="s">
        <v>1162</v>
      </c>
      <c r="H84" s="138">
        <v>1</v>
      </c>
      <c r="I84" s="138">
        <v>0</v>
      </c>
      <c r="J84" s="138">
        <v>3</v>
      </c>
      <c r="K84" s="138">
        <v>0</v>
      </c>
      <c r="L84" s="138">
        <v>0</v>
      </c>
      <c r="M84" s="42" t="s">
        <v>1421</v>
      </c>
      <c r="N84" s="15"/>
      <c r="O84" s="100"/>
      <c r="P84" s="14" t="s">
        <v>1164</v>
      </c>
    </row>
    <row r="85" spans="1:16" ht="165">
      <c r="A85" s="13" t="s">
        <v>1422</v>
      </c>
      <c r="B85" s="15" t="s">
        <v>1423</v>
      </c>
      <c r="C85" s="15" t="s">
        <v>1417</v>
      </c>
      <c r="D85" s="15" t="s">
        <v>49</v>
      </c>
      <c r="E85" s="13" t="s">
        <v>1161</v>
      </c>
      <c r="F85" s="13" t="s">
        <v>1162</v>
      </c>
      <c r="G85" s="13" t="s">
        <v>1162</v>
      </c>
      <c r="H85" s="138">
        <v>4</v>
      </c>
      <c r="I85" s="138">
        <v>3</v>
      </c>
      <c r="J85" s="138">
        <v>3</v>
      </c>
      <c r="K85" s="138">
        <v>0</v>
      </c>
      <c r="L85" s="138">
        <v>0</v>
      </c>
      <c r="M85" s="42" t="s">
        <v>1424</v>
      </c>
      <c r="N85" s="15"/>
      <c r="O85" s="100"/>
      <c r="P85" s="14" t="s">
        <v>1164</v>
      </c>
    </row>
    <row r="86" spans="1:16" ht="180">
      <c r="A86" s="13" t="s">
        <v>1425</v>
      </c>
      <c r="B86" s="15" t="s">
        <v>1426</v>
      </c>
      <c r="C86" s="15" t="s">
        <v>1417</v>
      </c>
      <c r="D86" s="15" t="s">
        <v>49</v>
      </c>
      <c r="E86" s="13" t="s">
        <v>1162</v>
      </c>
      <c r="F86" s="13" t="s">
        <v>1161</v>
      </c>
      <c r="G86" s="13" t="s">
        <v>1162</v>
      </c>
      <c r="H86" s="138">
        <v>4</v>
      </c>
      <c r="I86" s="138">
        <v>3</v>
      </c>
      <c r="J86" s="138">
        <v>3</v>
      </c>
      <c r="K86" s="138">
        <v>0</v>
      </c>
      <c r="L86" s="138">
        <v>0</v>
      </c>
      <c r="M86" s="42" t="s">
        <v>1427</v>
      </c>
      <c r="N86" s="15"/>
      <c r="O86" s="100"/>
      <c r="P86" s="14" t="s">
        <v>1164</v>
      </c>
    </row>
    <row r="87" spans="1:16" ht="165">
      <c r="A87" s="13" t="s">
        <v>1428</v>
      </c>
      <c r="B87" s="15" t="s">
        <v>1429</v>
      </c>
      <c r="C87" s="15" t="s">
        <v>1417</v>
      </c>
      <c r="D87" s="15" t="s">
        <v>49</v>
      </c>
      <c r="E87" s="13" t="s">
        <v>1161</v>
      </c>
      <c r="F87" s="13" t="s">
        <v>1162</v>
      </c>
      <c r="G87" s="13" t="s">
        <v>1162</v>
      </c>
      <c r="H87" s="138">
        <v>4</v>
      </c>
      <c r="I87" s="138">
        <v>3</v>
      </c>
      <c r="J87" s="138">
        <v>3</v>
      </c>
      <c r="K87" s="138">
        <v>0</v>
      </c>
      <c r="L87" s="138">
        <v>0</v>
      </c>
      <c r="M87" s="42" t="s">
        <v>1430</v>
      </c>
      <c r="N87" s="15"/>
      <c r="O87" s="100"/>
      <c r="P87" s="14" t="s">
        <v>1164</v>
      </c>
    </row>
    <row r="88" spans="1:16" ht="165">
      <c r="A88" s="13" t="s">
        <v>1431</v>
      </c>
      <c r="B88" s="15" t="s">
        <v>1432</v>
      </c>
      <c r="C88" s="15" t="s">
        <v>1417</v>
      </c>
      <c r="D88" s="15" t="s">
        <v>49</v>
      </c>
      <c r="E88" s="13" t="s">
        <v>1162</v>
      </c>
      <c r="F88" s="13" t="s">
        <v>1161</v>
      </c>
      <c r="G88" s="13" t="s">
        <v>1161</v>
      </c>
      <c r="H88" s="138">
        <v>4</v>
      </c>
      <c r="I88" s="138">
        <v>3</v>
      </c>
      <c r="J88" s="138">
        <v>3</v>
      </c>
      <c r="K88" s="138">
        <v>0</v>
      </c>
      <c r="L88" s="138">
        <v>0</v>
      </c>
      <c r="M88" s="42" t="s">
        <v>1433</v>
      </c>
      <c r="N88" s="15"/>
      <c r="O88" s="100"/>
      <c r="P88" s="14" t="s">
        <v>1164</v>
      </c>
    </row>
    <row r="89" spans="1:16" ht="150">
      <c r="A89" s="13" t="s">
        <v>1434</v>
      </c>
      <c r="B89" s="15" t="s">
        <v>1435</v>
      </c>
      <c r="C89" s="15" t="s">
        <v>1436</v>
      </c>
      <c r="D89" s="15" t="s">
        <v>49</v>
      </c>
      <c r="E89" s="13" t="s">
        <v>1161</v>
      </c>
      <c r="F89" s="13" t="s">
        <v>1161</v>
      </c>
      <c r="G89" s="13" t="s">
        <v>1161</v>
      </c>
      <c r="H89" s="138">
        <v>3</v>
      </c>
      <c r="I89" s="138">
        <v>2</v>
      </c>
      <c r="J89" s="138">
        <v>2</v>
      </c>
      <c r="K89" s="138">
        <v>0</v>
      </c>
      <c r="L89" s="138">
        <v>0</v>
      </c>
      <c r="M89" s="42" t="s">
        <v>1437</v>
      </c>
      <c r="N89" s="15"/>
      <c r="O89" s="100"/>
      <c r="P89" s="14" t="s">
        <v>1164</v>
      </c>
    </row>
    <row r="90" spans="1:16" ht="150">
      <c r="A90" s="13" t="s">
        <v>1438</v>
      </c>
      <c r="B90" s="15" t="s">
        <v>1439</v>
      </c>
      <c r="C90" s="15" t="s">
        <v>1436</v>
      </c>
      <c r="D90" s="15" t="s">
        <v>49</v>
      </c>
      <c r="E90" s="13" t="s">
        <v>1161</v>
      </c>
      <c r="F90" s="13" t="s">
        <v>1162</v>
      </c>
      <c r="G90" s="13" t="s">
        <v>1162</v>
      </c>
      <c r="H90" s="138">
        <v>3</v>
      </c>
      <c r="I90" s="138">
        <v>2</v>
      </c>
      <c r="J90" s="138">
        <v>3</v>
      </c>
      <c r="K90" s="138">
        <v>0</v>
      </c>
      <c r="L90" s="138">
        <v>0</v>
      </c>
      <c r="M90" s="42" t="s">
        <v>1440</v>
      </c>
      <c r="N90" s="15"/>
      <c r="O90" s="100"/>
      <c r="P90" s="14" t="s">
        <v>1164</v>
      </c>
    </row>
    <row r="91" spans="1:16" ht="135">
      <c r="A91" s="13" t="s">
        <v>1441</v>
      </c>
      <c r="B91" s="15" t="s">
        <v>1442</v>
      </c>
      <c r="C91" s="15" t="s">
        <v>1443</v>
      </c>
      <c r="D91" s="15" t="s">
        <v>49</v>
      </c>
      <c r="E91" s="13" t="s">
        <v>1161</v>
      </c>
      <c r="F91" s="13" t="s">
        <v>1162</v>
      </c>
      <c r="G91" s="13" t="s">
        <v>1162</v>
      </c>
      <c r="H91" s="138">
        <v>3</v>
      </c>
      <c r="I91" s="138">
        <v>3</v>
      </c>
      <c r="J91" s="138">
        <v>0</v>
      </c>
      <c r="K91" s="138">
        <v>0</v>
      </c>
      <c r="L91" s="138">
        <v>0</v>
      </c>
      <c r="M91" s="42" t="s">
        <v>1444</v>
      </c>
      <c r="N91" s="15"/>
      <c r="O91" s="100"/>
      <c r="P91" s="14" t="s">
        <v>1164</v>
      </c>
    </row>
    <row r="92" spans="1:16" ht="75">
      <c r="A92" s="13" t="s">
        <v>1445</v>
      </c>
      <c r="B92" s="15" t="s">
        <v>1446</v>
      </c>
      <c r="C92" s="15" t="s">
        <v>1443</v>
      </c>
      <c r="D92" s="15" t="s">
        <v>49</v>
      </c>
      <c r="E92" s="13" t="s">
        <v>1162</v>
      </c>
      <c r="F92" s="13" t="s">
        <v>1161</v>
      </c>
      <c r="G92" s="13" t="s">
        <v>1162</v>
      </c>
      <c r="H92" s="138">
        <v>3</v>
      </c>
      <c r="I92" s="138">
        <v>3</v>
      </c>
      <c r="J92" s="138">
        <v>0</v>
      </c>
      <c r="K92" s="138">
        <v>0</v>
      </c>
      <c r="L92" s="138">
        <v>0</v>
      </c>
      <c r="M92" s="15" t="s">
        <v>1447</v>
      </c>
      <c r="N92" s="15"/>
      <c r="O92" s="100"/>
      <c r="P92" s="14" t="s">
        <v>1164</v>
      </c>
    </row>
    <row r="93" spans="1:16" ht="150">
      <c r="A93" s="13" t="s">
        <v>1448</v>
      </c>
      <c r="B93" s="15" t="s">
        <v>1449</v>
      </c>
      <c r="C93" s="15" t="s">
        <v>1443</v>
      </c>
      <c r="D93" s="15" t="s">
        <v>49</v>
      </c>
      <c r="E93" s="13" t="s">
        <v>1161</v>
      </c>
      <c r="F93" s="13" t="s">
        <v>1162</v>
      </c>
      <c r="G93" s="13" t="s">
        <v>1162</v>
      </c>
      <c r="H93" s="138">
        <v>3</v>
      </c>
      <c r="I93" s="138">
        <v>3</v>
      </c>
      <c r="J93" s="138">
        <v>0</v>
      </c>
      <c r="K93" s="138">
        <v>0</v>
      </c>
      <c r="L93" s="138">
        <v>0</v>
      </c>
      <c r="M93" s="42" t="s">
        <v>1450</v>
      </c>
      <c r="N93" s="15"/>
      <c r="O93" s="100"/>
      <c r="P93" s="14" t="s">
        <v>1164</v>
      </c>
    </row>
    <row r="94" spans="1:16" ht="120">
      <c r="A94" s="13" t="s">
        <v>1451</v>
      </c>
      <c r="B94" s="15" t="s">
        <v>1452</v>
      </c>
      <c r="C94" s="15" t="s">
        <v>1443</v>
      </c>
      <c r="D94" s="15" t="s">
        <v>49</v>
      </c>
      <c r="E94" s="13" t="s">
        <v>1161</v>
      </c>
      <c r="F94" s="13" t="s">
        <v>1162</v>
      </c>
      <c r="G94" s="13" t="s">
        <v>1162</v>
      </c>
      <c r="H94" s="138">
        <v>3</v>
      </c>
      <c r="I94" s="138">
        <v>3</v>
      </c>
      <c r="J94" s="138">
        <v>0</v>
      </c>
      <c r="K94" s="138">
        <v>0</v>
      </c>
      <c r="L94" s="138">
        <v>0</v>
      </c>
      <c r="M94" s="42" t="s">
        <v>1453</v>
      </c>
      <c r="N94" s="15"/>
      <c r="O94" s="100"/>
      <c r="P94" s="14" t="s">
        <v>1164</v>
      </c>
    </row>
    <row r="95" spans="1:16" ht="90">
      <c r="A95" s="13" t="s">
        <v>1454</v>
      </c>
      <c r="B95" s="15" t="s">
        <v>1455</v>
      </c>
      <c r="C95" s="15" t="s">
        <v>1443</v>
      </c>
      <c r="D95" s="15" t="s">
        <v>49</v>
      </c>
      <c r="E95" s="13" t="s">
        <v>1162</v>
      </c>
      <c r="F95" s="13" t="s">
        <v>1161</v>
      </c>
      <c r="G95" s="13" t="s">
        <v>1162</v>
      </c>
      <c r="H95" s="138">
        <v>3</v>
      </c>
      <c r="I95" s="138">
        <v>3</v>
      </c>
      <c r="J95" s="138">
        <v>0</v>
      </c>
      <c r="K95" s="138">
        <v>0</v>
      </c>
      <c r="L95" s="138">
        <v>0</v>
      </c>
      <c r="M95" s="15" t="s">
        <v>1456</v>
      </c>
      <c r="N95" s="15"/>
      <c r="O95" s="100"/>
      <c r="P95" s="14" t="s">
        <v>1164</v>
      </c>
    </row>
    <row r="96" spans="1:16" ht="105">
      <c r="A96" s="13" t="s">
        <v>1457</v>
      </c>
      <c r="B96" s="15" t="s">
        <v>1458</v>
      </c>
      <c r="C96" s="15" t="s">
        <v>1443</v>
      </c>
      <c r="D96" s="15" t="s">
        <v>49</v>
      </c>
      <c r="E96" s="13" t="s">
        <v>1162</v>
      </c>
      <c r="F96" s="13" t="s">
        <v>1161</v>
      </c>
      <c r="G96" s="13" t="s">
        <v>1162</v>
      </c>
      <c r="H96" s="138">
        <v>3</v>
      </c>
      <c r="I96" s="138">
        <v>3</v>
      </c>
      <c r="J96" s="138">
        <v>0</v>
      </c>
      <c r="K96" s="138">
        <v>0</v>
      </c>
      <c r="L96" s="138">
        <v>0</v>
      </c>
      <c r="M96" s="15" t="s">
        <v>1459</v>
      </c>
      <c r="N96" s="15"/>
      <c r="O96" s="100"/>
      <c r="P96" s="14" t="s">
        <v>1164</v>
      </c>
    </row>
    <row r="97" spans="1:16" ht="150">
      <c r="A97" s="13" t="s">
        <v>1460</v>
      </c>
      <c r="B97" s="15" t="s">
        <v>1461</v>
      </c>
      <c r="C97" s="15" t="s">
        <v>1443</v>
      </c>
      <c r="D97" s="15" t="s">
        <v>49</v>
      </c>
      <c r="E97" s="13" t="s">
        <v>1162</v>
      </c>
      <c r="F97" s="13" t="s">
        <v>1161</v>
      </c>
      <c r="G97" s="13" t="s">
        <v>1162</v>
      </c>
      <c r="H97" s="138">
        <v>3</v>
      </c>
      <c r="I97" s="138">
        <v>3</v>
      </c>
      <c r="J97" s="138">
        <v>0</v>
      </c>
      <c r="K97" s="138">
        <v>0</v>
      </c>
      <c r="L97" s="138">
        <v>0</v>
      </c>
      <c r="M97" s="42" t="s">
        <v>1462</v>
      </c>
      <c r="N97" s="15"/>
      <c r="O97" s="100"/>
      <c r="P97" s="14" t="s">
        <v>1164</v>
      </c>
    </row>
    <row r="98" spans="1:16" ht="120">
      <c r="A98" s="13" t="s">
        <v>1463</v>
      </c>
      <c r="B98" s="15" t="s">
        <v>1464</v>
      </c>
      <c r="C98" s="15" t="s">
        <v>1443</v>
      </c>
      <c r="D98" s="15" t="s">
        <v>49</v>
      </c>
      <c r="E98" s="13" t="s">
        <v>1161</v>
      </c>
      <c r="F98" s="13" t="s">
        <v>1162</v>
      </c>
      <c r="G98" s="13" t="s">
        <v>1161</v>
      </c>
      <c r="H98" s="138">
        <v>3</v>
      </c>
      <c r="I98" s="138">
        <v>3</v>
      </c>
      <c r="J98" s="138">
        <v>0</v>
      </c>
      <c r="K98" s="138">
        <v>0</v>
      </c>
      <c r="L98" s="138">
        <v>0</v>
      </c>
      <c r="M98" s="15" t="s">
        <v>1465</v>
      </c>
      <c r="N98" s="15"/>
      <c r="O98" s="100"/>
      <c r="P98" s="14" t="s">
        <v>1164</v>
      </c>
    </row>
    <row r="99" spans="1:16" ht="150">
      <c r="A99" s="13" t="s">
        <v>1466</v>
      </c>
      <c r="B99" s="15" t="s">
        <v>1467</v>
      </c>
      <c r="C99" s="15" t="s">
        <v>1443</v>
      </c>
      <c r="D99" s="15" t="s">
        <v>49</v>
      </c>
      <c r="E99" s="13" t="s">
        <v>1162</v>
      </c>
      <c r="F99" s="13" t="s">
        <v>1161</v>
      </c>
      <c r="G99" s="13" t="s">
        <v>1162</v>
      </c>
      <c r="H99" s="138">
        <v>3</v>
      </c>
      <c r="I99" s="138">
        <v>3</v>
      </c>
      <c r="J99" s="138">
        <v>0</v>
      </c>
      <c r="K99" s="138">
        <v>0</v>
      </c>
      <c r="L99" s="138">
        <v>0</v>
      </c>
      <c r="M99" s="144" t="s">
        <v>1468</v>
      </c>
      <c r="N99" s="15"/>
      <c r="O99" s="100"/>
      <c r="P99" s="14" t="s">
        <v>1164</v>
      </c>
    </row>
    <row r="100" spans="1:16" ht="105">
      <c r="A100" s="13" t="s">
        <v>1469</v>
      </c>
      <c r="B100" s="15" t="s">
        <v>1470</v>
      </c>
      <c r="C100" s="15" t="s">
        <v>1443</v>
      </c>
      <c r="D100" s="15" t="s">
        <v>49</v>
      </c>
      <c r="E100" s="13" t="s">
        <v>1162</v>
      </c>
      <c r="F100" s="13" t="s">
        <v>1161</v>
      </c>
      <c r="G100" s="13" t="s">
        <v>1162</v>
      </c>
      <c r="H100" s="138">
        <v>3</v>
      </c>
      <c r="I100" s="138">
        <v>3</v>
      </c>
      <c r="J100" s="138">
        <v>0</v>
      </c>
      <c r="K100" s="138">
        <v>0</v>
      </c>
      <c r="L100" s="138">
        <v>0</v>
      </c>
      <c r="M100" s="15" t="s">
        <v>1471</v>
      </c>
      <c r="N100" s="15"/>
      <c r="O100" s="100"/>
      <c r="P100" s="14" t="s">
        <v>1164</v>
      </c>
    </row>
    <row r="101" spans="1:16" ht="105">
      <c r="A101" s="13" t="s">
        <v>1472</v>
      </c>
      <c r="B101" s="15" t="s">
        <v>1473</v>
      </c>
      <c r="C101" s="15" t="s">
        <v>1443</v>
      </c>
      <c r="D101" s="15" t="s">
        <v>49</v>
      </c>
      <c r="E101" s="13" t="s">
        <v>1161</v>
      </c>
      <c r="F101" s="13" t="s">
        <v>1162</v>
      </c>
      <c r="G101" s="13" t="s">
        <v>1162</v>
      </c>
      <c r="H101" s="138">
        <v>4</v>
      </c>
      <c r="I101" s="138">
        <v>3</v>
      </c>
      <c r="J101" s="138">
        <v>2</v>
      </c>
      <c r="K101" s="138">
        <v>0</v>
      </c>
      <c r="L101" s="138">
        <v>0</v>
      </c>
      <c r="M101" s="15" t="s">
        <v>1474</v>
      </c>
      <c r="N101" s="15"/>
      <c r="O101" s="100"/>
      <c r="P101" s="14" t="s">
        <v>1164</v>
      </c>
    </row>
    <row r="102" spans="1:16" ht="90">
      <c r="A102" s="13" t="s">
        <v>1475</v>
      </c>
      <c r="B102" s="15" t="s">
        <v>1476</v>
      </c>
      <c r="C102" s="15" t="s">
        <v>1443</v>
      </c>
      <c r="D102" s="15" t="s">
        <v>49</v>
      </c>
      <c r="E102" s="13" t="s">
        <v>1162</v>
      </c>
      <c r="F102" s="13" t="s">
        <v>1161</v>
      </c>
      <c r="G102" s="13" t="s">
        <v>1162</v>
      </c>
      <c r="H102" s="138">
        <v>3</v>
      </c>
      <c r="I102" s="138">
        <v>3</v>
      </c>
      <c r="J102" s="138">
        <v>0</v>
      </c>
      <c r="K102" s="138">
        <v>0</v>
      </c>
      <c r="L102" s="138">
        <v>0</v>
      </c>
      <c r="M102" s="15" t="s">
        <v>1477</v>
      </c>
      <c r="N102" s="15"/>
      <c r="O102" s="100"/>
      <c r="P102" s="14" t="s">
        <v>1164</v>
      </c>
    </row>
    <row r="103" spans="1:16" ht="90">
      <c r="A103" s="13" t="s">
        <v>1478</v>
      </c>
      <c r="B103" s="15" t="s">
        <v>1479</v>
      </c>
      <c r="C103" s="15" t="s">
        <v>1443</v>
      </c>
      <c r="D103" s="15" t="s">
        <v>49</v>
      </c>
      <c r="E103" s="13" t="s">
        <v>1161</v>
      </c>
      <c r="F103" s="13" t="s">
        <v>1162</v>
      </c>
      <c r="G103" s="13" t="s">
        <v>1162</v>
      </c>
      <c r="H103" s="138">
        <v>3</v>
      </c>
      <c r="I103" s="138">
        <v>3</v>
      </c>
      <c r="J103" s="138">
        <v>0</v>
      </c>
      <c r="K103" s="138">
        <v>0</v>
      </c>
      <c r="L103" s="138">
        <v>0</v>
      </c>
      <c r="M103" s="15" t="s">
        <v>1480</v>
      </c>
      <c r="N103" s="15"/>
      <c r="O103" s="100"/>
      <c r="P103" s="14" t="s">
        <v>1164</v>
      </c>
    </row>
    <row r="104" spans="1:16" ht="90">
      <c r="A104" s="13" t="s">
        <v>1481</v>
      </c>
      <c r="B104" s="15" t="s">
        <v>1482</v>
      </c>
      <c r="C104" s="15" t="s">
        <v>1443</v>
      </c>
      <c r="D104" s="15" t="s">
        <v>49</v>
      </c>
      <c r="E104" s="13" t="s">
        <v>1162</v>
      </c>
      <c r="F104" s="13" t="s">
        <v>1161</v>
      </c>
      <c r="G104" s="13" t="s">
        <v>1162</v>
      </c>
      <c r="H104" s="138">
        <v>3</v>
      </c>
      <c r="I104" s="138">
        <v>3</v>
      </c>
      <c r="J104" s="138">
        <v>0</v>
      </c>
      <c r="K104" s="138">
        <v>0</v>
      </c>
      <c r="L104" s="138">
        <v>0</v>
      </c>
      <c r="M104" s="15" t="s">
        <v>1483</v>
      </c>
      <c r="N104" s="15"/>
      <c r="O104" s="100"/>
      <c r="P104" s="14" t="s">
        <v>1164</v>
      </c>
    </row>
    <row r="105" spans="1:16" ht="180">
      <c r="A105" s="13" t="s">
        <v>1484</v>
      </c>
      <c r="B105" s="15" t="s">
        <v>1485</v>
      </c>
      <c r="C105" s="15" t="s">
        <v>1486</v>
      </c>
      <c r="D105" s="15" t="s">
        <v>49</v>
      </c>
      <c r="E105" s="13" t="s">
        <v>1161</v>
      </c>
      <c r="F105" s="13" t="s">
        <v>1161</v>
      </c>
      <c r="G105" s="13" t="s">
        <v>1161</v>
      </c>
      <c r="H105" s="138">
        <v>3</v>
      </c>
      <c r="I105" s="138">
        <v>3</v>
      </c>
      <c r="J105" s="138">
        <v>0</v>
      </c>
      <c r="K105" s="138">
        <v>0</v>
      </c>
      <c r="L105" s="138">
        <v>0</v>
      </c>
      <c r="M105" s="42" t="s">
        <v>1487</v>
      </c>
      <c r="N105" s="15"/>
      <c r="O105" s="100"/>
      <c r="P105" s="14" t="s">
        <v>1164</v>
      </c>
    </row>
    <row r="106" spans="1:16" ht="180">
      <c r="A106" s="13" t="s">
        <v>1488</v>
      </c>
      <c r="B106" s="15" t="s">
        <v>1489</v>
      </c>
      <c r="C106" s="15" t="s">
        <v>1486</v>
      </c>
      <c r="D106" s="15" t="s">
        <v>49</v>
      </c>
      <c r="E106" s="13" t="s">
        <v>1161</v>
      </c>
      <c r="F106" s="13" t="s">
        <v>1161</v>
      </c>
      <c r="G106" s="13" t="s">
        <v>1161</v>
      </c>
      <c r="H106" s="138">
        <v>3</v>
      </c>
      <c r="I106" s="138">
        <v>3</v>
      </c>
      <c r="J106" s="138">
        <v>0</v>
      </c>
      <c r="K106" s="138">
        <v>0</v>
      </c>
      <c r="L106" s="138">
        <v>0</v>
      </c>
      <c r="M106" s="42" t="s">
        <v>1490</v>
      </c>
      <c r="N106" s="15"/>
      <c r="O106" s="100"/>
      <c r="P106" s="14" t="s">
        <v>1164</v>
      </c>
    </row>
    <row r="107" spans="1:16" ht="150">
      <c r="A107" s="13" t="s">
        <v>1491</v>
      </c>
      <c r="B107" s="15" t="s">
        <v>1492</v>
      </c>
      <c r="C107" s="15" t="s">
        <v>1493</v>
      </c>
      <c r="D107" s="15" t="s">
        <v>49</v>
      </c>
      <c r="E107" s="13" t="s">
        <v>1162</v>
      </c>
      <c r="F107" s="13" t="s">
        <v>1161</v>
      </c>
      <c r="G107" s="13" t="s">
        <v>1162</v>
      </c>
      <c r="H107" s="138">
        <v>3</v>
      </c>
      <c r="I107" s="138">
        <v>2</v>
      </c>
      <c r="J107" s="138">
        <v>3</v>
      </c>
      <c r="K107" s="138">
        <v>0</v>
      </c>
      <c r="L107" s="138">
        <v>0</v>
      </c>
      <c r="M107" s="42" t="s">
        <v>1494</v>
      </c>
      <c r="N107" s="15"/>
      <c r="O107" s="100"/>
      <c r="P107" s="14" t="s">
        <v>1164</v>
      </c>
    </row>
    <row r="108" spans="1:16" ht="90">
      <c r="A108" s="13" t="s">
        <v>1495</v>
      </c>
      <c r="B108" s="15" t="s">
        <v>1496</v>
      </c>
      <c r="C108" s="15" t="s">
        <v>1493</v>
      </c>
      <c r="D108" s="15" t="s">
        <v>49</v>
      </c>
      <c r="E108" s="13" t="s">
        <v>1162</v>
      </c>
      <c r="F108" s="13" t="s">
        <v>1161</v>
      </c>
      <c r="G108" s="13" t="s">
        <v>1162</v>
      </c>
      <c r="H108" s="138">
        <v>3</v>
      </c>
      <c r="I108" s="138">
        <v>2</v>
      </c>
      <c r="J108" s="138">
        <v>3</v>
      </c>
      <c r="K108" s="138">
        <v>0</v>
      </c>
      <c r="L108" s="138">
        <v>0</v>
      </c>
      <c r="M108" s="15" t="s">
        <v>1497</v>
      </c>
      <c r="N108" s="15"/>
      <c r="O108" s="100"/>
      <c r="P108" s="14" t="s">
        <v>1164</v>
      </c>
    </row>
    <row r="109" spans="1:16" ht="150">
      <c r="A109" s="13" t="s">
        <v>1498</v>
      </c>
      <c r="B109" s="15" t="s">
        <v>1499</v>
      </c>
      <c r="C109" s="15" t="s">
        <v>1493</v>
      </c>
      <c r="D109" s="15" t="s">
        <v>49</v>
      </c>
      <c r="E109" s="13" t="s">
        <v>1161</v>
      </c>
      <c r="F109" s="13" t="s">
        <v>1162</v>
      </c>
      <c r="G109" s="13" t="s">
        <v>1162</v>
      </c>
      <c r="H109" s="138">
        <v>3</v>
      </c>
      <c r="I109" s="138">
        <v>2</v>
      </c>
      <c r="J109" s="138">
        <v>3</v>
      </c>
      <c r="K109" s="138">
        <v>0</v>
      </c>
      <c r="L109" s="138">
        <v>0</v>
      </c>
      <c r="M109" s="62" t="s">
        <v>1500</v>
      </c>
      <c r="N109" s="15"/>
      <c r="O109" s="100"/>
      <c r="P109" s="14" t="s">
        <v>1164</v>
      </c>
    </row>
    <row r="110" spans="1:16" ht="105">
      <c r="A110" s="13" t="s">
        <v>1501</v>
      </c>
      <c r="B110" s="15" t="s">
        <v>1502</v>
      </c>
      <c r="C110" s="15" t="s">
        <v>1503</v>
      </c>
      <c r="D110" s="15" t="s">
        <v>49</v>
      </c>
      <c r="E110" s="13" t="s">
        <v>1161</v>
      </c>
      <c r="F110" s="13" t="s">
        <v>1162</v>
      </c>
      <c r="G110" s="13" t="s">
        <v>1162</v>
      </c>
      <c r="H110" s="138">
        <v>3</v>
      </c>
      <c r="I110" s="138">
        <v>2</v>
      </c>
      <c r="J110" s="138">
        <v>2</v>
      </c>
      <c r="K110" s="138">
        <v>0</v>
      </c>
      <c r="L110" s="138">
        <v>0</v>
      </c>
      <c r="M110" s="15" t="s">
        <v>1504</v>
      </c>
      <c r="N110" s="15"/>
      <c r="O110" s="100"/>
      <c r="P110" s="14" t="s">
        <v>1164</v>
      </c>
    </row>
    <row r="111" spans="1:16" ht="90">
      <c r="A111" s="13" t="s">
        <v>1505</v>
      </c>
      <c r="B111" s="15" t="s">
        <v>1506</v>
      </c>
      <c r="C111" s="15" t="s">
        <v>1503</v>
      </c>
      <c r="D111" s="15" t="s">
        <v>49</v>
      </c>
      <c r="E111" s="13" t="s">
        <v>1161</v>
      </c>
      <c r="F111" s="13" t="s">
        <v>1161</v>
      </c>
      <c r="G111" s="13" t="s">
        <v>1162</v>
      </c>
      <c r="H111" s="138">
        <v>3</v>
      </c>
      <c r="I111" s="138">
        <v>2</v>
      </c>
      <c r="J111" s="138">
        <v>2</v>
      </c>
      <c r="K111" s="138">
        <v>0</v>
      </c>
      <c r="L111" s="138">
        <v>0</v>
      </c>
      <c r="M111" s="15" t="s">
        <v>1507</v>
      </c>
      <c r="N111" s="15"/>
      <c r="O111" s="100"/>
      <c r="P111" s="14" t="s">
        <v>1164</v>
      </c>
    </row>
    <row r="112" spans="1:16" ht="165">
      <c r="A112" s="13" t="s">
        <v>1508</v>
      </c>
      <c r="B112" s="15" t="s">
        <v>1509</v>
      </c>
      <c r="C112" s="15" t="s">
        <v>1510</v>
      </c>
      <c r="D112" s="15" t="s">
        <v>49</v>
      </c>
      <c r="E112" s="13" t="s">
        <v>1162</v>
      </c>
      <c r="F112" s="13" t="s">
        <v>1161</v>
      </c>
      <c r="G112" s="13" t="s">
        <v>1162</v>
      </c>
      <c r="H112" s="138">
        <v>3</v>
      </c>
      <c r="I112" s="138">
        <v>3</v>
      </c>
      <c r="J112" s="138">
        <v>0</v>
      </c>
      <c r="K112" s="138">
        <v>0</v>
      </c>
      <c r="L112" s="138">
        <v>0</v>
      </c>
      <c r="M112" s="42" t="s">
        <v>1511</v>
      </c>
      <c r="N112" s="15"/>
      <c r="O112" s="100"/>
      <c r="P112" s="14" t="s">
        <v>1164</v>
      </c>
    </row>
    <row r="113" spans="1:16" ht="135">
      <c r="A113" s="13" t="s">
        <v>1512</v>
      </c>
      <c r="B113" s="15" t="s">
        <v>1513</v>
      </c>
      <c r="C113" s="15" t="s">
        <v>1510</v>
      </c>
      <c r="D113" s="15" t="s">
        <v>49</v>
      </c>
      <c r="E113" s="13" t="s">
        <v>1161</v>
      </c>
      <c r="F113" s="13" t="s">
        <v>1162</v>
      </c>
      <c r="G113" s="13" t="s">
        <v>1162</v>
      </c>
      <c r="H113" s="138">
        <v>3</v>
      </c>
      <c r="I113" s="138">
        <v>2</v>
      </c>
      <c r="J113" s="138">
        <v>3</v>
      </c>
      <c r="K113" s="138">
        <v>0</v>
      </c>
      <c r="L113" s="138">
        <v>0</v>
      </c>
      <c r="M113" s="15" t="s">
        <v>1514</v>
      </c>
      <c r="N113" s="15"/>
      <c r="O113" s="100"/>
      <c r="P113" s="14" t="s">
        <v>1164</v>
      </c>
    </row>
    <row r="114" spans="1:16" ht="60">
      <c r="A114" s="13" t="s">
        <v>1515</v>
      </c>
      <c r="B114" s="15" t="s">
        <v>1516</v>
      </c>
      <c r="C114" s="15" t="s">
        <v>1510</v>
      </c>
      <c r="D114" s="15" t="s">
        <v>49</v>
      </c>
      <c r="E114" s="13" t="s">
        <v>1162</v>
      </c>
      <c r="F114" s="13" t="s">
        <v>1161</v>
      </c>
      <c r="G114" s="13" t="s">
        <v>1162</v>
      </c>
      <c r="H114" s="138">
        <v>3</v>
      </c>
      <c r="I114" s="138">
        <v>2</v>
      </c>
      <c r="J114" s="138">
        <v>2</v>
      </c>
      <c r="K114" s="138">
        <v>0</v>
      </c>
      <c r="L114" s="138">
        <v>0</v>
      </c>
      <c r="M114" s="15" t="s">
        <v>1517</v>
      </c>
      <c r="N114" s="15"/>
      <c r="O114" s="100"/>
      <c r="P114" s="14" t="s">
        <v>1164</v>
      </c>
    </row>
    <row r="115" spans="1:16" ht="75">
      <c r="A115" s="13" t="s">
        <v>1518</v>
      </c>
      <c r="B115" s="15" t="s">
        <v>1519</v>
      </c>
      <c r="C115" s="15" t="s">
        <v>1510</v>
      </c>
      <c r="D115" s="15" t="s">
        <v>49</v>
      </c>
      <c r="E115" s="13" t="s">
        <v>1161</v>
      </c>
      <c r="F115" s="13" t="s">
        <v>1162</v>
      </c>
      <c r="G115" s="13" t="s">
        <v>1162</v>
      </c>
      <c r="H115" s="138">
        <v>3</v>
      </c>
      <c r="I115" s="138">
        <v>2</v>
      </c>
      <c r="J115" s="138">
        <v>2</v>
      </c>
      <c r="K115" s="138">
        <v>0</v>
      </c>
      <c r="L115" s="138">
        <v>0</v>
      </c>
      <c r="M115" s="15" t="s">
        <v>1520</v>
      </c>
      <c r="N115" s="15"/>
      <c r="O115" s="100"/>
      <c r="P115" s="14" t="s">
        <v>1164</v>
      </c>
    </row>
    <row r="116" spans="1:16" ht="105">
      <c r="A116" s="13" t="s">
        <v>1521</v>
      </c>
      <c r="B116" s="15" t="s">
        <v>1522</v>
      </c>
      <c r="C116" s="15" t="s">
        <v>1510</v>
      </c>
      <c r="D116" s="15" t="s">
        <v>49</v>
      </c>
      <c r="E116" s="13" t="s">
        <v>1162</v>
      </c>
      <c r="F116" s="13" t="s">
        <v>1161</v>
      </c>
      <c r="G116" s="13" t="s">
        <v>1162</v>
      </c>
      <c r="H116" s="138">
        <v>3</v>
      </c>
      <c r="I116" s="138">
        <v>2</v>
      </c>
      <c r="J116" s="138">
        <v>3</v>
      </c>
      <c r="K116" s="138">
        <v>0</v>
      </c>
      <c r="L116" s="138">
        <v>0</v>
      </c>
      <c r="M116" s="15" t="s">
        <v>1523</v>
      </c>
      <c r="N116" s="15"/>
      <c r="O116" s="100"/>
      <c r="P116" s="14" t="s">
        <v>1164</v>
      </c>
    </row>
    <row r="117" spans="1:16" ht="90">
      <c r="A117" s="13" t="s">
        <v>1524</v>
      </c>
      <c r="B117" s="15" t="s">
        <v>1525</v>
      </c>
      <c r="C117" s="15" t="s">
        <v>1510</v>
      </c>
      <c r="D117" s="15" t="s">
        <v>49</v>
      </c>
      <c r="E117" s="13" t="s">
        <v>1162</v>
      </c>
      <c r="F117" s="13" t="s">
        <v>1161</v>
      </c>
      <c r="G117" s="13" t="s">
        <v>1162</v>
      </c>
      <c r="H117" s="138">
        <v>3</v>
      </c>
      <c r="I117" s="138">
        <v>1</v>
      </c>
      <c r="J117" s="138">
        <v>4</v>
      </c>
      <c r="K117" s="138">
        <v>0</v>
      </c>
      <c r="L117" s="138">
        <v>0</v>
      </c>
      <c r="M117" s="15" t="s">
        <v>1526</v>
      </c>
      <c r="N117" s="15"/>
      <c r="O117" s="259"/>
      <c r="P117" s="14" t="s">
        <v>1164</v>
      </c>
    </row>
    <row r="118" spans="1:16" ht="90">
      <c r="A118" s="13" t="s">
        <v>1527</v>
      </c>
      <c r="B118" s="15" t="s">
        <v>1528</v>
      </c>
      <c r="C118" s="15" t="s">
        <v>1529</v>
      </c>
      <c r="D118" s="15" t="s">
        <v>49</v>
      </c>
      <c r="E118" s="13" t="s">
        <v>1162</v>
      </c>
      <c r="F118" s="13" t="s">
        <v>1161</v>
      </c>
      <c r="G118" s="13" t="s">
        <v>1162</v>
      </c>
      <c r="H118" s="138">
        <v>3</v>
      </c>
      <c r="I118" s="138">
        <v>2</v>
      </c>
      <c r="J118" s="138">
        <v>3</v>
      </c>
      <c r="K118" s="138">
        <v>0</v>
      </c>
      <c r="L118" s="138">
        <v>0</v>
      </c>
      <c r="M118" s="15" t="s">
        <v>1530</v>
      </c>
      <c r="N118" s="15"/>
      <c r="O118" s="100"/>
      <c r="P118" s="14" t="s">
        <v>1164</v>
      </c>
    </row>
    <row r="119" spans="1:16" ht="60">
      <c r="A119" s="13" t="s">
        <v>1531</v>
      </c>
      <c r="B119" s="15" t="s">
        <v>1532</v>
      </c>
      <c r="C119" s="15" t="s">
        <v>1529</v>
      </c>
      <c r="D119" s="15" t="s">
        <v>49</v>
      </c>
      <c r="E119" s="13" t="s">
        <v>1161</v>
      </c>
      <c r="F119" s="13" t="s">
        <v>1162</v>
      </c>
      <c r="G119" s="13" t="s">
        <v>1162</v>
      </c>
      <c r="H119" s="138">
        <v>3</v>
      </c>
      <c r="I119" s="138">
        <v>2</v>
      </c>
      <c r="J119" s="138">
        <v>2</v>
      </c>
      <c r="K119" s="138">
        <v>0</v>
      </c>
      <c r="L119" s="138">
        <v>0</v>
      </c>
      <c r="M119" s="15" t="s">
        <v>1533</v>
      </c>
      <c r="N119" s="15"/>
      <c r="O119" s="100"/>
      <c r="P119" s="14" t="s">
        <v>1164</v>
      </c>
    </row>
    <row r="120" spans="1:16" ht="45">
      <c r="A120" s="13" t="s">
        <v>1534</v>
      </c>
      <c r="B120" s="15" t="s">
        <v>1535</v>
      </c>
      <c r="C120" s="15" t="s">
        <v>1536</v>
      </c>
      <c r="D120" s="15" t="s">
        <v>49</v>
      </c>
      <c r="E120" s="13" t="s">
        <v>1161</v>
      </c>
      <c r="F120" s="13" t="s">
        <v>1162</v>
      </c>
      <c r="G120" s="13" t="s">
        <v>1162</v>
      </c>
      <c r="H120" s="138">
        <v>3</v>
      </c>
      <c r="I120" s="138">
        <v>2</v>
      </c>
      <c r="J120" s="138">
        <v>3</v>
      </c>
      <c r="K120" s="138">
        <v>0</v>
      </c>
      <c r="L120" s="138">
        <v>0</v>
      </c>
      <c r="M120" s="15" t="s">
        <v>1537</v>
      </c>
      <c r="N120" s="15"/>
      <c r="O120" s="100"/>
      <c r="P120" s="14" t="s">
        <v>1164</v>
      </c>
    </row>
    <row r="121" spans="1:16" ht="135">
      <c r="A121" s="13" t="s">
        <v>1538</v>
      </c>
      <c r="B121" s="15" t="s">
        <v>1539</v>
      </c>
      <c r="C121" s="15" t="s">
        <v>1540</v>
      </c>
      <c r="D121" s="15" t="s">
        <v>49</v>
      </c>
      <c r="E121" s="13" t="s">
        <v>1161</v>
      </c>
      <c r="F121" s="13" t="s">
        <v>1161</v>
      </c>
      <c r="G121" s="13" t="s">
        <v>1161</v>
      </c>
      <c r="H121" s="138">
        <v>3</v>
      </c>
      <c r="I121" s="138">
        <v>3</v>
      </c>
      <c r="J121" s="138">
        <v>0</v>
      </c>
      <c r="K121" s="138">
        <v>0</v>
      </c>
      <c r="L121" s="138">
        <v>0</v>
      </c>
      <c r="M121" s="42" t="s">
        <v>1541</v>
      </c>
      <c r="N121" s="15"/>
      <c r="O121" s="100"/>
      <c r="P121" s="14" t="s">
        <v>1164</v>
      </c>
    </row>
    <row r="122" spans="1:16" ht="195">
      <c r="A122" s="13" t="s">
        <v>1542</v>
      </c>
      <c r="B122" s="15" t="s">
        <v>1543</v>
      </c>
      <c r="C122" s="15" t="s">
        <v>1544</v>
      </c>
      <c r="D122" s="15" t="s">
        <v>49</v>
      </c>
      <c r="E122" s="13" t="s">
        <v>1161</v>
      </c>
      <c r="F122" s="13" t="s">
        <v>1161</v>
      </c>
      <c r="G122" s="13" t="s">
        <v>1161</v>
      </c>
      <c r="H122" s="138">
        <v>3</v>
      </c>
      <c r="I122" s="138">
        <v>3</v>
      </c>
      <c r="J122" s="138">
        <v>0</v>
      </c>
      <c r="K122" s="138">
        <v>0</v>
      </c>
      <c r="L122" s="138">
        <v>0</v>
      </c>
      <c r="M122" s="42" t="s">
        <v>1545</v>
      </c>
      <c r="N122" s="15"/>
      <c r="O122" s="100"/>
      <c r="P122" s="14" t="s">
        <v>1164</v>
      </c>
    </row>
    <row r="123" spans="1:16" ht="180">
      <c r="A123" s="13" t="s">
        <v>1546</v>
      </c>
      <c r="B123" s="15" t="s">
        <v>1547</v>
      </c>
      <c r="C123" s="15" t="s">
        <v>1544</v>
      </c>
      <c r="D123" s="15" t="s">
        <v>49</v>
      </c>
      <c r="E123" s="13" t="s">
        <v>1161</v>
      </c>
      <c r="F123" s="13" t="s">
        <v>1161</v>
      </c>
      <c r="G123" s="13" t="s">
        <v>1161</v>
      </c>
      <c r="H123" s="138">
        <v>3</v>
      </c>
      <c r="I123" s="138">
        <v>3</v>
      </c>
      <c r="J123" s="138">
        <v>0</v>
      </c>
      <c r="K123" s="138">
        <v>0</v>
      </c>
      <c r="L123" s="138">
        <v>0</v>
      </c>
      <c r="M123" s="42" t="s">
        <v>1548</v>
      </c>
      <c r="N123" s="15"/>
      <c r="O123" s="100"/>
      <c r="P123" s="14" t="s">
        <v>1164</v>
      </c>
    </row>
    <row r="124" spans="1:16" ht="120">
      <c r="A124" s="13" t="s">
        <v>1549</v>
      </c>
      <c r="B124" s="15" t="s">
        <v>1550</v>
      </c>
      <c r="C124" s="15" t="s">
        <v>1551</v>
      </c>
      <c r="D124" s="15" t="s">
        <v>49</v>
      </c>
      <c r="E124" s="13" t="s">
        <v>1162</v>
      </c>
      <c r="F124" s="13" t="s">
        <v>1162</v>
      </c>
      <c r="G124" s="13" t="s">
        <v>1161</v>
      </c>
      <c r="H124" s="138">
        <v>3</v>
      </c>
      <c r="I124" s="138">
        <v>3</v>
      </c>
      <c r="J124" s="138">
        <v>0</v>
      </c>
      <c r="K124" s="138">
        <v>0</v>
      </c>
      <c r="L124" s="138">
        <v>0</v>
      </c>
      <c r="M124" s="15" t="s">
        <v>1552</v>
      </c>
      <c r="N124" s="15"/>
      <c r="O124" s="100"/>
      <c r="P124" s="14" t="s">
        <v>1164</v>
      </c>
    </row>
    <row r="125" spans="1:16" ht="195">
      <c r="A125" s="13" t="s">
        <v>1553</v>
      </c>
      <c r="B125" s="15" t="s">
        <v>1554</v>
      </c>
      <c r="C125" s="15" t="s">
        <v>1551</v>
      </c>
      <c r="D125" s="15" t="s">
        <v>49</v>
      </c>
      <c r="E125" s="13" t="s">
        <v>1161</v>
      </c>
      <c r="F125" s="13" t="s">
        <v>1162</v>
      </c>
      <c r="G125" s="13" t="s">
        <v>1162</v>
      </c>
      <c r="H125" s="138">
        <v>4</v>
      </c>
      <c r="I125" s="138">
        <v>4</v>
      </c>
      <c r="J125" s="138">
        <v>0</v>
      </c>
      <c r="K125" s="138">
        <v>0</v>
      </c>
      <c r="L125" s="138">
        <v>0</v>
      </c>
      <c r="M125" s="15" t="s">
        <v>1555</v>
      </c>
      <c r="N125" s="15"/>
      <c r="O125" s="100"/>
      <c r="P125" s="14" t="s">
        <v>1164</v>
      </c>
    </row>
    <row r="126" spans="1:16" ht="195">
      <c r="A126" s="13" t="s">
        <v>1556</v>
      </c>
      <c r="B126" s="15" t="s">
        <v>1557</v>
      </c>
      <c r="C126" s="15" t="s">
        <v>1551</v>
      </c>
      <c r="D126" s="15" t="s">
        <v>49</v>
      </c>
      <c r="E126" s="224"/>
      <c r="F126" s="224"/>
      <c r="G126" s="224"/>
      <c r="H126" s="138">
        <v>3</v>
      </c>
      <c r="I126" s="138">
        <v>3</v>
      </c>
      <c r="J126" s="138">
        <v>0</v>
      </c>
      <c r="K126" s="138">
        <v>0</v>
      </c>
      <c r="L126" s="138">
        <v>0</v>
      </c>
      <c r="M126" s="15" t="s">
        <v>1558</v>
      </c>
      <c r="N126" s="15"/>
      <c r="O126" s="100"/>
      <c r="P126" s="14" t="s">
        <v>1164</v>
      </c>
    </row>
    <row r="127" spans="1:16" ht="225">
      <c r="A127" s="13" t="s">
        <v>1559</v>
      </c>
      <c r="B127" s="15" t="s">
        <v>1560</v>
      </c>
      <c r="C127" s="15" t="s">
        <v>1551</v>
      </c>
      <c r="D127" s="15" t="s">
        <v>49</v>
      </c>
      <c r="E127" s="13" t="s">
        <v>1161</v>
      </c>
      <c r="F127" s="13" t="s">
        <v>1162</v>
      </c>
      <c r="G127" s="13" t="s">
        <v>1162</v>
      </c>
      <c r="H127" s="138">
        <v>3</v>
      </c>
      <c r="I127" s="138">
        <v>3</v>
      </c>
      <c r="J127" s="138">
        <v>0</v>
      </c>
      <c r="K127" s="138">
        <v>0</v>
      </c>
      <c r="L127" s="138">
        <v>0</v>
      </c>
      <c r="M127" s="42" t="s">
        <v>1561</v>
      </c>
      <c r="N127" s="15"/>
      <c r="O127" s="100"/>
      <c r="P127" s="14" t="s">
        <v>1164</v>
      </c>
    </row>
    <row r="128" spans="1:16" ht="210">
      <c r="A128" s="13" t="s">
        <v>1562</v>
      </c>
      <c r="B128" s="15" t="s">
        <v>1563</v>
      </c>
      <c r="C128" s="15" t="s">
        <v>1551</v>
      </c>
      <c r="D128" s="15" t="s">
        <v>49</v>
      </c>
      <c r="E128" s="13" t="s">
        <v>1161</v>
      </c>
      <c r="F128" s="13" t="s">
        <v>1162</v>
      </c>
      <c r="G128" s="13" t="s">
        <v>1162</v>
      </c>
      <c r="H128" s="138">
        <v>3</v>
      </c>
      <c r="I128" s="138">
        <v>3</v>
      </c>
      <c r="J128" s="138">
        <v>0</v>
      </c>
      <c r="K128" s="138">
        <v>0</v>
      </c>
      <c r="L128" s="138">
        <v>0</v>
      </c>
      <c r="M128" s="42" t="s">
        <v>1564</v>
      </c>
      <c r="N128" s="15"/>
      <c r="O128" s="100"/>
      <c r="P128" s="14" t="s">
        <v>1164</v>
      </c>
    </row>
    <row r="129" spans="1:16" ht="210">
      <c r="A129" s="13" t="s">
        <v>1565</v>
      </c>
      <c r="B129" s="15" t="s">
        <v>1566</v>
      </c>
      <c r="C129" s="15" t="s">
        <v>1551</v>
      </c>
      <c r="D129" s="15" t="s">
        <v>49</v>
      </c>
      <c r="E129" s="13" t="s">
        <v>1161</v>
      </c>
      <c r="F129" s="13" t="s">
        <v>1162</v>
      </c>
      <c r="G129" s="13" t="s">
        <v>1162</v>
      </c>
      <c r="H129" s="138">
        <v>3</v>
      </c>
      <c r="I129" s="138">
        <v>3</v>
      </c>
      <c r="J129" s="138">
        <v>0</v>
      </c>
      <c r="K129" s="138">
        <v>0</v>
      </c>
      <c r="L129" s="138">
        <v>0</v>
      </c>
      <c r="M129" s="42" t="s">
        <v>1567</v>
      </c>
      <c r="N129" s="15"/>
      <c r="O129" s="100"/>
      <c r="P129" s="14" t="s">
        <v>1164</v>
      </c>
    </row>
    <row r="130" spans="1:16" ht="165">
      <c r="A130" s="13" t="s">
        <v>1568</v>
      </c>
      <c r="B130" s="15" t="s">
        <v>1569</v>
      </c>
      <c r="C130" s="15" t="s">
        <v>1551</v>
      </c>
      <c r="D130" s="15" t="s">
        <v>49</v>
      </c>
      <c r="E130" s="13" t="s">
        <v>1162</v>
      </c>
      <c r="F130" s="13" t="s">
        <v>1161</v>
      </c>
      <c r="G130" s="13" t="s">
        <v>1162</v>
      </c>
      <c r="H130" s="138">
        <v>3</v>
      </c>
      <c r="I130" s="138">
        <v>3</v>
      </c>
      <c r="J130" s="138">
        <v>0</v>
      </c>
      <c r="K130" s="138">
        <v>0</v>
      </c>
      <c r="L130" s="138">
        <v>0</v>
      </c>
      <c r="M130" s="15" t="s">
        <v>1570</v>
      </c>
      <c r="N130" s="15"/>
      <c r="O130" s="100"/>
      <c r="P130" s="14" t="s">
        <v>1164</v>
      </c>
    </row>
    <row r="131" spans="1:16" ht="120">
      <c r="A131" s="13" t="s">
        <v>1571</v>
      </c>
      <c r="B131" s="15" t="s">
        <v>1572</v>
      </c>
      <c r="C131" s="15" t="s">
        <v>1551</v>
      </c>
      <c r="D131" s="15" t="s">
        <v>49</v>
      </c>
      <c r="E131" s="224"/>
      <c r="F131" s="224"/>
      <c r="G131" s="224"/>
      <c r="H131" s="138">
        <v>3</v>
      </c>
      <c r="I131" s="138">
        <v>3</v>
      </c>
      <c r="J131" s="138">
        <v>0</v>
      </c>
      <c r="K131" s="138">
        <v>0</v>
      </c>
      <c r="L131" s="138">
        <v>0</v>
      </c>
      <c r="M131" s="15" t="s">
        <v>1573</v>
      </c>
      <c r="N131" s="15"/>
      <c r="O131" s="100"/>
      <c r="P131" s="14" t="s">
        <v>1164</v>
      </c>
    </row>
    <row r="132" spans="1:16" ht="180">
      <c r="A132" s="13" t="s">
        <v>1574</v>
      </c>
      <c r="B132" s="15" t="s">
        <v>1575</v>
      </c>
      <c r="C132" s="15" t="s">
        <v>1551</v>
      </c>
      <c r="D132" s="15" t="s">
        <v>49</v>
      </c>
      <c r="E132" s="13" t="s">
        <v>1162</v>
      </c>
      <c r="F132" s="13" t="s">
        <v>1161</v>
      </c>
      <c r="G132" s="13" t="s">
        <v>1162</v>
      </c>
      <c r="H132" s="138">
        <v>3</v>
      </c>
      <c r="I132" s="138">
        <v>3</v>
      </c>
      <c r="J132" s="138">
        <v>0</v>
      </c>
      <c r="K132" s="138">
        <v>0</v>
      </c>
      <c r="L132" s="138">
        <v>0</v>
      </c>
      <c r="M132" s="15" t="s">
        <v>1576</v>
      </c>
      <c r="N132" s="15"/>
      <c r="O132" s="100"/>
      <c r="P132" s="14" t="s">
        <v>1164</v>
      </c>
    </row>
    <row r="133" spans="1:16" ht="105">
      <c r="A133" s="13" t="s">
        <v>1577</v>
      </c>
      <c r="B133" s="15" t="s">
        <v>1578</v>
      </c>
      <c r="C133" s="15" t="s">
        <v>1551</v>
      </c>
      <c r="D133" s="15" t="s">
        <v>49</v>
      </c>
      <c r="E133" s="13" t="s">
        <v>1162</v>
      </c>
      <c r="F133" s="13" t="s">
        <v>1161</v>
      </c>
      <c r="G133" s="13" t="s">
        <v>1162</v>
      </c>
      <c r="H133" s="138">
        <v>3</v>
      </c>
      <c r="I133" s="138">
        <v>3</v>
      </c>
      <c r="J133" s="138">
        <v>0</v>
      </c>
      <c r="K133" s="138">
        <v>0</v>
      </c>
      <c r="L133" s="138">
        <v>0</v>
      </c>
      <c r="M133" s="15" t="s">
        <v>1579</v>
      </c>
      <c r="N133" s="15"/>
      <c r="O133" s="100"/>
      <c r="P133" s="14" t="s">
        <v>1164</v>
      </c>
    </row>
    <row r="134" spans="1:16" ht="150">
      <c r="A134" s="13" t="s">
        <v>1580</v>
      </c>
      <c r="B134" s="15" t="s">
        <v>1581</v>
      </c>
      <c r="C134" s="15" t="s">
        <v>1551</v>
      </c>
      <c r="D134" s="15" t="s">
        <v>49</v>
      </c>
      <c r="E134" s="13" t="s">
        <v>1161</v>
      </c>
      <c r="F134" s="13" t="s">
        <v>1162</v>
      </c>
      <c r="G134" s="13" t="s">
        <v>1162</v>
      </c>
      <c r="H134" s="138">
        <v>3</v>
      </c>
      <c r="I134" s="138">
        <v>3</v>
      </c>
      <c r="J134" s="138">
        <v>0</v>
      </c>
      <c r="K134" s="138">
        <v>0</v>
      </c>
      <c r="L134" s="138">
        <v>0</v>
      </c>
      <c r="M134" s="15" t="s">
        <v>1582</v>
      </c>
      <c r="N134" s="15"/>
      <c r="O134" s="100"/>
      <c r="P134" s="14" t="s">
        <v>1164</v>
      </c>
    </row>
    <row r="135" spans="1:16" ht="135">
      <c r="A135" s="13" t="s">
        <v>1583</v>
      </c>
      <c r="B135" s="15" t="s">
        <v>1584</v>
      </c>
      <c r="C135" s="15" t="s">
        <v>1551</v>
      </c>
      <c r="D135" s="15" t="s">
        <v>49</v>
      </c>
      <c r="E135" s="224"/>
      <c r="F135" s="224"/>
      <c r="G135" s="224"/>
      <c r="H135" s="138">
        <v>3</v>
      </c>
      <c r="I135" s="138">
        <v>2</v>
      </c>
      <c r="J135" s="138">
        <v>2</v>
      </c>
      <c r="K135" s="138">
        <v>0</v>
      </c>
      <c r="L135" s="138">
        <v>0</v>
      </c>
      <c r="M135" s="15" t="s">
        <v>1585</v>
      </c>
      <c r="N135" s="15"/>
      <c r="O135" s="100"/>
      <c r="P135" s="14" t="s">
        <v>1164</v>
      </c>
    </row>
    <row r="136" spans="1:16" ht="120">
      <c r="A136" s="13" t="s">
        <v>1586</v>
      </c>
      <c r="B136" s="15" t="s">
        <v>1587</v>
      </c>
      <c r="C136" s="15" t="s">
        <v>1551</v>
      </c>
      <c r="D136" s="15" t="s">
        <v>49</v>
      </c>
      <c r="E136" s="224"/>
      <c r="F136" s="224"/>
      <c r="G136" s="224"/>
      <c r="H136" s="138">
        <v>3</v>
      </c>
      <c r="I136" s="138">
        <v>3</v>
      </c>
      <c r="J136" s="138">
        <v>0</v>
      </c>
      <c r="K136" s="138">
        <v>0</v>
      </c>
      <c r="L136" s="138">
        <v>0</v>
      </c>
      <c r="M136" s="15" t="s">
        <v>1588</v>
      </c>
      <c r="N136" s="15"/>
      <c r="O136" s="100"/>
      <c r="P136" s="14" t="s">
        <v>1164</v>
      </c>
    </row>
    <row r="137" spans="1:16" ht="150">
      <c r="A137" s="13" t="s">
        <v>1589</v>
      </c>
      <c r="B137" s="15" t="s">
        <v>1590</v>
      </c>
      <c r="C137" s="15" t="s">
        <v>1551</v>
      </c>
      <c r="D137" s="15" t="s">
        <v>49</v>
      </c>
      <c r="E137" s="224"/>
      <c r="F137" s="224"/>
      <c r="G137" s="224"/>
      <c r="H137" s="138">
        <v>2</v>
      </c>
      <c r="I137" s="138">
        <v>2</v>
      </c>
      <c r="J137" s="138">
        <v>0</v>
      </c>
      <c r="K137" s="138">
        <v>0</v>
      </c>
      <c r="L137" s="138">
        <v>0</v>
      </c>
      <c r="M137" s="15" t="s">
        <v>1591</v>
      </c>
      <c r="N137" s="15"/>
      <c r="O137" s="100"/>
      <c r="P137" s="14" t="s">
        <v>1164</v>
      </c>
    </row>
    <row r="138" spans="1:16" ht="90">
      <c r="A138" s="13" t="s">
        <v>1592</v>
      </c>
      <c r="B138" s="15" t="s">
        <v>1593</v>
      </c>
      <c r="C138" s="15" t="s">
        <v>1551</v>
      </c>
      <c r="D138" s="15" t="s">
        <v>49</v>
      </c>
      <c r="E138" s="224"/>
      <c r="F138" s="224"/>
      <c r="G138" s="224"/>
      <c r="H138" s="138">
        <v>3</v>
      </c>
      <c r="I138" s="138">
        <v>3</v>
      </c>
      <c r="J138" s="138">
        <v>0</v>
      </c>
      <c r="K138" s="138">
        <v>0</v>
      </c>
      <c r="L138" s="138">
        <v>0</v>
      </c>
      <c r="M138" s="15" t="s">
        <v>1594</v>
      </c>
      <c r="N138" s="15"/>
      <c r="O138" s="100"/>
      <c r="P138" s="14" t="s">
        <v>1164</v>
      </c>
    </row>
    <row r="139" spans="1:16" ht="150">
      <c r="A139" s="13" t="s">
        <v>1595</v>
      </c>
      <c r="B139" s="15" t="s">
        <v>1596</v>
      </c>
      <c r="C139" s="15" t="s">
        <v>1551</v>
      </c>
      <c r="D139" s="15" t="s">
        <v>49</v>
      </c>
      <c r="E139" s="224"/>
      <c r="F139" s="224"/>
      <c r="G139" s="224"/>
      <c r="H139" s="138">
        <v>3</v>
      </c>
      <c r="I139" s="138">
        <v>3</v>
      </c>
      <c r="J139" s="138">
        <v>0</v>
      </c>
      <c r="K139" s="138">
        <v>0</v>
      </c>
      <c r="L139" s="138">
        <v>0</v>
      </c>
      <c r="M139" s="15" t="s">
        <v>1597</v>
      </c>
      <c r="N139" s="15"/>
      <c r="O139" s="100"/>
      <c r="P139" s="14" t="s">
        <v>1164</v>
      </c>
    </row>
    <row r="140" spans="1:16" ht="150">
      <c r="A140" s="13" t="s">
        <v>1598</v>
      </c>
      <c r="B140" s="15" t="s">
        <v>1599</v>
      </c>
      <c r="C140" s="15" t="s">
        <v>1551</v>
      </c>
      <c r="D140" s="15" t="s">
        <v>49</v>
      </c>
      <c r="E140" s="224"/>
      <c r="F140" s="224"/>
      <c r="G140" s="224"/>
      <c r="H140" s="138">
        <v>3</v>
      </c>
      <c r="I140" s="138">
        <v>3</v>
      </c>
      <c r="J140" s="138">
        <v>0</v>
      </c>
      <c r="K140" s="138">
        <v>0</v>
      </c>
      <c r="L140" s="138">
        <v>0</v>
      </c>
      <c r="M140" s="15" t="s">
        <v>1600</v>
      </c>
      <c r="N140" s="15"/>
      <c r="O140" s="100"/>
      <c r="P140" s="14" t="s">
        <v>1164</v>
      </c>
    </row>
    <row r="141" spans="1:16" ht="105">
      <c r="A141" s="13" t="s">
        <v>1601</v>
      </c>
      <c r="B141" s="15" t="s">
        <v>1602</v>
      </c>
      <c r="C141" s="15" t="s">
        <v>1551</v>
      </c>
      <c r="D141" s="15" t="s">
        <v>49</v>
      </c>
      <c r="E141" s="224"/>
      <c r="F141" s="224"/>
      <c r="G141" s="224"/>
      <c r="H141" s="138">
        <v>3</v>
      </c>
      <c r="I141" s="138">
        <v>3</v>
      </c>
      <c r="J141" s="138">
        <v>0</v>
      </c>
      <c r="K141" s="138">
        <v>0</v>
      </c>
      <c r="L141" s="138">
        <v>0</v>
      </c>
      <c r="M141" s="15" t="s">
        <v>1603</v>
      </c>
      <c r="N141" s="15"/>
      <c r="O141" s="100"/>
      <c r="P141" s="14" t="s">
        <v>1164</v>
      </c>
    </row>
    <row r="142" spans="1:16" ht="191.25" customHeight="1">
      <c r="A142" s="13" t="s">
        <v>1604</v>
      </c>
      <c r="B142" s="15" t="s">
        <v>1605</v>
      </c>
      <c r="C142" s="15" t="s">
        <v>1551</v>
      </c>
      <c r="D142" s="15" t="s">
        <v>49</v>
      </c>
      <c r="E142" s="224"/>
      <c r="F142" s="224"/>
      <c r="G142" s="224"/>
      <c r="H142" s="138">
        <v>2</v>
      </c>
      <c r="I142" s="138">
        <v>1</v>
      </c>
      <c r="J142" s="138">
        <v>3</v>
      </c>
      <c r="K142" s="138">
        <v>0</v>
      </c>
      <c r="L142" s="138">
        <v>0</v>
      </c>
      <c r="M142" s="15" t="s">
        <v>1606</v>
      </c>
      <c r="N142" s="15"/>
      <c r="O142" s="100"/>
      <c r="P142" s="14" t="s">
        <v>1164</v>
      </c>
    </row>
    <row r="143" spans="1:16" ht="165">
      <c r="A143" s="13" t="s">
        <v>1607</v>
      </c>
      <c r="B143" s="15" t="s">
        <v>1608</v>
      </c>
      <c r="C143" s="15" t="s">
        <v>1551</v>
      </c>
      <c r="D143" s="15" t="s">
        <v>49</v>
      </c>
      <c r="E143" s="13" t="s">
        <v>1161</v>
      </c>
      <c r="F143" s="13" t="s">
        <v>1162</v>
      </c>
      <c r="G143" s="13" t="s">
        <v>1162</v>
      </c>
      <c r="H143" s="138">
        <v>4</v>
      </c>
      <c r="I143" s="138">
        <v>3</v>
      </c>
      <c r="J143" s="138">
        <v>3</v>
      </c>
      <c r="K143" s="138">
        <v>0</v>
      </c>
      <c r="L143" s="138">
        <v>0</v>
      </c>
      <c r="M143" s="15" t="s">
        <v>1609</v>
      </c>
      <c r="N143" s="15"/>
      <c r="O143" s="100"/>
      <c r="P143" s="14" t="s">
        <v>1164</v>
      </c>
    </row>
    <row r="144" spans="1:16" ht="105">
      <c r="A144" s="13" t="s">
        <v>1610</v>
      </c>
      <c r="B144" s="15" t="s">
        <v>1611</v>
      </c>
      <c r="C144" s="15" t="s">
        <v>1551</v>
      </c>
      <c r="D144" s="15" t="s">
        <v>49</v>
      </c>
      <c r="E144" s="224"/>
      <c r="F144" s="224"/>
      <c r="G144" s="224"/>
      <c r="H144" s="138">
        <v>3</v>
      </c>
      <c r="I144" s="138">
        <v>3</v>
      </c>
      <c r="J144" s="138">
        <v>0</v>
      </c>
      <c r="K144" s="138">
        <v>0</v>
      </c>
      <c r="L144" s="138">
        <v>0</v>
      </c>
      <c r="M144" s="15" t="s">
        <v>1612</v>
      </c>
      <c r="N144" s="15"/>
      <c r="O144" s="100"/>
      <c r="P144" s="14" t="s">
        <v>1164</v>
      </c>
    </row>
    <row r="145" spans="1:16" ht="180">
      <c r="A145" s="13" t="s">
        <v>1613</v>
      </c>
      <c r="B145" s="15" t="s">
        <v>1614</v>
      </c>
      <c r="C145" s="15" t="s">
        <v>1551</v>
      </c>
      <c r="D145" s="15" t="s">
        <v>49</v>
      </c>
      <c r="E145" s="13" t="s">
        <v>1162</v>
      </c>
      <c r="F145" s="13" t="s">
        <v>1161</v>
      </c>
      <c r="G145" s="13" t="s">
        <v>1162</v>
      </c>
      <c r="H145" s="138">
        <v>3</v>
      </c>
      <c r="I145" s="138">
        <v>3</v>
      </c>
      <c r="J145" s="138">
        <v>0</v>
      </c>
      <c r="K145" s="138">
        <v>0</v>
      </c>
      <c r="L145" s="138">
        <v>0</v>
      </c>
      <c r="M145" s="42" t="s">
        <v>1615</v>
      </c>
      <c r="N145" s="15"/>
      <c r="O145" s="100"/>
      <c r="P145" s="14" t="s">
        <v>1164</v>
      </c>
    </row>
    <row r="146" spans="1:16" ht="240">
      <c r="A146" s="13" t="s">
        <v>1616</v>
      </c>
      <c r="B146" s="15" t="s">
        <v>1617</v>
      </c>
      <c r="C146" s="15" t="s">
        <v>1551</v>
      </c>
      <c r="D146" s="15" t="s">
        <v>49</v>
      </c>
      <c r="E146" s="13" t="s">
        <v>1161</v>
      </c>
      <c r="F146" s="13" t="s">
        <v>1161</v>
      </c>
      <c r="G146" s="13" t="s">
        <v>1162</v>
      </c>
      <c r="H146" s="138">
        <v>3</v>
      </c>
      <c r="I146" s="138">
        <v>3</v>
      </c>
      <c r="J146" s="138">
        <v>0</v>
      </c>
      <c r="K146" s="138">
        <v>0</v>
      </c>
      <c r="L146" s="138">
        <v>0</v>
      </c>
      <c r="M146" s="42" t="s">
        <v>1618</v>
      </c>
      <c r="N146" s="15"/>
      <c r="O146" s="100"/>
      <c r="P146" s="14" t="s">
        <v>1164</v>
      </c>
    </row>
    <row r="147" spans="1:16" ht="120">
      <c r="A147" s="13" t="s">
        <v>1619</v>
      </c>
      <c r="B147" s="15" t="s">
        <v>1620</v>
      </c>
      <c r="C147" s="15" t="s">
        <v>1551</v>
      </c>
      <c r="D147" s="15" t="s">
        <v>49</v>
      </c>
      <c r="E147" s="13" t="s">
        <v>1161</v>
      </c>
      <c r="F147" s="13" t="s">
        <v>1162</v>
      </c>
      <c r="G147" s="13" t="s">
        <v>1162</v>
      </c>
      <c r="H147" s="138">
        <v>3</v>
      </c>
      <c r="I147" s="138">
        <v>3</v>
      </c>
      <c r="J147" s="138">
        <v>0</v>
      </c>
      <c r="K147" s="138">
        <v>0</v>
      </c>
      <c r="L147" s="138">
        <v>0</v>
      </c>
      <c r="M147" s="15" t="s">
        <v>1621</v>
      </c>
      <c r="N147" s="15"/>
      <c r="O147" s="100"/>
      <c r="P147" s="14" t="s">
        <v>1164</v>
      </c>
    </row>
    <row r="148" spans="1:16" ht="165">
      <c r="A148" s="13" t="s">
        <v>1622</v>
      </c>
      <c r="B148" s="15" t="s">
        <v>1623</v>
      </c>
      <c r="C148" s="15" t="s">
        <v>1551</v>
      </c>
      <c r="D148" s="15" t="s">
        <v>49</v>
      </c>
      <c r="E148" s="13" t="s">
        <v>1162</v>
      </c>
      <c r="F148" s="13" t="s">
        <v>1161</v>
      </c>
      <c r="G148" s="13" t="s">
        <v>1162</v>
      </c>
      <c r="H148" s="138">
        <v>3</v>
      </c>
      <c r="I148" s="138">
        <v>3</v>
      </c>
      <c r="J148" s="138">
        <v>0</v>
      </c>
      <c r="K148" s="138">
        <v>0</v>
      </c>
      <c r="L148" s="138">
        <v>0</v>
      </c>
      <c r="M148" s="15" t="s">
        <v>1624</v>
      </c>
      <c r="N148" s="15"/>
      <c r="O148" s="100"/>
      <c r="P148" s="14" t="s">
        <v>1164</v>
      </c>
    </row>
    <row r="149" spans="1:16" ht="105">
      <c r="A149" s="13" t="s">
        <v>1625</v>
      </c>
      <c r="B149" s="15" t="s">
        <v>1626</v>
      </c>
      <c r="C149" s="15" t="s">
        <v>1551</v>
      </c>
      <c r="D149" s="15" t="s">
        <v>49</v>
      </c>
      <c r="E149" s="224"/>
      <c r="F149" s="224"/>
      <c r="G149" s="224"/>
      <c r="H149" s="138">
        <v>3</v>
      </c>
      <c r="I149" s="138">
        <v>3</v>
      </c>
      <c r="J149" s="138">
        <v>0</v>
      </c>
      <c r="K149" s="138">
        <v>0</v>
      </c>
      <c r="L149" s="138">
        <v>0</v>
      </c>
      <c r="M149" s="15" t="s">
        <v>1627</v>
      </c>
      <c r="N149" s="15"/>
      <c r="O149" s="100"/>
      <c r="P149" s="14" t="s">
        <v>1164</v>
      </c>
    </row>
    <row r="150" spans="1:16" ht="105">
      <c r="A150" s="13" t="s">
        <v>1628</v>
      </c>
      <c r="B150" s="15" t="s">
        <v>1629</v>
      </c>
      <c r="C150" s="15" t="s">
        <v>1551</v>
      </c>
      <c r="D150" s="15" t="s">
        <v>49</v>
      </c>
      <c r="E150" s="13" t="s">
        <v>1161</v>
      </c>
      <c r="F150" s="13" t="s">
        <v>1162</v>
      </c>
      <c r="G150" s="13" t="s">
        <v>1162</v>
      </c>
      <c r="H150" s="138">
        <v>3</v>
      </c>
      <c r="I150" s="138">
        <v>3</v>
      </c>
      <c r="J150" s="138">
        <v>0</v>
      </c>
      <c r="K150" s="138">
        <v>0</v>
      </c>
      <c r="L150" s="138">
        <v>0</v>
      </c>
      <c r="M150" s="15" t="s">
        <v>1630</v>
      </c>
      <c r="N150" s="15"/>
      <c r="O150" s="100"/>
      <c r="P150" s="14" t="s">
        <v>1164</v>
      </c>
    </row>
    <row r="151" spans="1:16" ht="105">
      <c r="A151" s="13" t="s">
        <v>1631</v>
      </c>
      <c r="B151" s="15" t="s">
        <v>1632</v>
      </c>
      <c r="C151" s="15" t="s">
        <v>1551</v>
      </c>
      <c r="D151" s="15" t="s">
        <v>49</v>
      </c>
      <c r="E151" s="13" t="s">
        <v>1161</v>
      </c>
      <c r="F151" s="13" t="s">
        <v>1162</v>
      </c>
      <c r="G151" s="13" t="s">
        <v>1162</v>
      </c>
      <c r="H151" s="138">
        <v>3</v>
      </c>
      <c r="I151" s="138">
        <v>3</v>
      </c>
      <c r="J151" s="138">
        <v>0</v>
      </c>
      <c r="K151" s="138">
        <v>0</v>
      </c>
      <c r="L151" s="138">
        <v>0</v>
      </c>
      <c r="M151" s="15" t="s">
        <v>1633</v>
      </c>
      <c r="N151" s="15"/>
      <c r="O151" s="100"/>
      <c r="P151" s="14" t="s">
        <v>1164</v>
      </c>
    </row>
    <row r="152" spans="1:16" ht="150">
      <c r="A152" s="13" t="s">
        <v>1634</v>
      </c>
      <c r="B152" s="15" t="s">
        <v>1635</v>
      </c>
      <c r="C152" s="15" t="s">
        <v>1551</v>
      </c>
      <c r="D152" s="15" t="s">
        <v>49</v>
      </c>
      <c r="E152" s="13" t="s">
        <v>1161</v>
      </c>
      <c r="F152" s="13" t="s">
        <v>1162</v>
      </c>
      <c r="G152" s="13" t="s">
        <v>1162</v>
      </c>
      <c r="H152" s="138">
        <v>3</v>
      </c>
      <c r="I152" s="138">
        <v>3</v>
      </c>
      <c r="J152" s="138">
        <v>0</v>
      </c>
      <c r="K152" s="138">
        <v>0</v>
      </c>
      <c r="L152" s="138">
        <v>0</v>
      </c>
      <c r="M152" s="15" t="s">
        <v>1636</v>
      </c>
      <c r="N152" s="15"/>
      <c r="O152" s="100"/>
      <c r="P152" s="14" t="s">
        <v>1164</v>
      </c>
    </row>
    <row r="153" spans="1:16" ht="135">
      <c r="A153" s="13" t="s">
        <v>1637</v>
      </c>
      <c r="B153" s="15" t="s">
        <v>1638</v>
      </c>
      <c r="C153" s="15" t="s">
        <v>1551</v>
      </c>
      <c r="D153" s="15" t="s">
        <v>49</v>
      </c>
      <c r="E153" s="224"/>
      <c r="F153" s="224"/>
      <c r="G153" s="224"/>
      <c r="H153" s="138">
        <v>3</v>
      </c>
      <c r="I153" s="138">
        <v>3</v>
      </c>
      <c r="J153" s="138">
        <v>0</v>
      </c>
      <c r="K153" s="138">
        <v>0</v>
      </c>
      <c r="L153" s="138">
        <v>0</v>
      </c>
      <c r="M153" s="15" t="s">
        <v>1639</v>
      </c>
      <c r="N153" s="15"/>
      <c r="O153" s="100"/>
      <c r="P153" s="14" t="s">
        <v>1164</v>
      </c>
    </row>
    <row r="154" spans="1:16" ht="120">
      <c r="A154" s="13" t="s">
        <v>1640</v>
      </c>
      <c r="B154" s="15" t="s">
        <v>1641</v>
      </c>
      <c r="C154" s="15" t="s">
        <v>1551</v>
      </c>
      <c r="D154" s="15" t="s">
        <v>49</v>
      </c>
      <c r="E154" s="13" t="s">
        <v>1162</v>
      </c>
      <c r="F154" s="13" t="s">
        <v>1161</v>
      </c>
      <c r="G154" s="13" t="s">
        <v>1162</v>
      </c>
      <c r="H154" s="138">
        <v>3</v>
      </c>
      <c r="I154" s="138">
        <v>3</v>
      </c>
      <c r="J154" s="138">
        <v>0</v>
      </c>
      <c r="K154" s="138">
        <v>0</v>
      </c>
      <c r="L154" s="138">
        <v>0</v>
      </c>
      <c r="M154" s="15" t="s">
        <v>1642</v>
      </c>
      <c r="N154" s="15"/>
      <c r="O154" s="100"/>
      <c r="P154" s="14" t="s">
        <v>1164</v>
      </c>
    </row>
    <row r="155" spans="1:16" ht="120">
      <c r="A155" s="13" t="s">
        <v>1643</v>
      </c>
      <c r="B155" s="15" t="s">
        <v>1644</v>
      </c>
      <c r="C155" s="15" t="s">
        <v>1551</v>
      </c>
      <c r="D155" s="15" t="s">
        <v>49</v>
      </c>
      <c r="E155" s="13" t="s">
        <v>1162</v>
      </c>
      <c r="F155" s="13" t="s">
        <v>1161</v>
      </c>
      <c r="G155" s="13" t="s">
        <v>1162</v>
      </c>
      <c r="H155" s="138">
        <v>3</v>
      </c>
      <c r="I155" s="138">
        <v>3</v>
      </c>
      <c r="J155" s="138">
        <v>0</v>
      </c>
      <c r="K155" s="138">
        <v>0</v>
      </c>
      <c r="L155" s="138">
        <v>0</v>
      </c>
      <c r="M155" s="15" t="s">
        <v>1645</v>
      </c>
      <c r="N155" s="15"/>
      <c r="O155" s="100"/>
      <c r="P155" s="14" t="s">
        <v>1164</v>
      </c>
    </row>
    <row r="156" spans="1:16" ht="75">
      <c r="A156" s="13" t="s">
        <v>1646</v>
      </c>
      <c r="B156" s="15" t="s">
        <v>1647</v>
      </c>
      <c r="C156" s="15" t="s">
        <v>1551</v>
      </c>
      <c r="D156" s="15" t="s">
        <v>49</v>
      </c>
      <c r="E156" s="224"/>
      <c r="F156" s="224"/>
      <c r="G156" s="224"/>
      <c r="H156" s="138">
        <v>2</v>
      </c>
      <c r="I156" s="138">
        <v>2</v>
      </c>
      <c r="J156" s="138">
        <v>0</v>
      </c>
      <c r="K156" s="138">
        <v>0</v>
      </c>
      <c r="L156" s="138">
        <v>0</v>
      </c>
      <c r="M156" s="15" t="s">
        <v>1648</v>
      </c>
      <c r="N156" s="15"/>
      <c r="O156" s="100"/>
      <c r="P156" s="14" t="s">
        <v>1164</v>
      </c>
    </row>
    <row r="157" spans="1:16" ht="180">
      <c r="A157" s="13" t="s">
        <v>1649</v>
      </c>
      <c r="B157" s="15" t="s">
        <v>1650</v>
      </c>
      <c r="C157" s="15" t="s">
        <v>1551</v>
      </c>
      <c r="D157" s="15" t="s">
        <v>49</v>
      </c>
      <c r="E157" s="13" t="s">
        <v>1161</v>
      </c>
      <c r="F157" s="13" t="s">
        <v>1162</v>
      </c>
      <c r="G157" s="13" t="s">
        <v>1162</v>
      </c>
      <c r="H157" s="138">
        <v>2</v>
      </c>
      <c r="I157" s="138">
        <v>2</v>
      </c>
      <c r="J157" s="138">
        <v>0</v>
      </c>
      <c r="K157" s="138">
        <v>0</v>
      </c>
      <c r="L157" s="138">
        <v>0</v>
      </c>
      <c r="M157" s="15" t="s">
        <v>1651</v>
      </c>
      <c r="N157" s="15"/>
      <c r="O157" s="100"/>
      <c r="P157" s="14" t="s">
        <v>1164</v>
      </c>
    </row>
    <row r="158" spans="1:16" ht="135">
      <c r="A158" s="13" t="s">
        <v>1652</v>
      </c>
      <c r="B158" s="15" t="s">
        <v>1653</v>
      </c>
      <c r="C158" s="15" t="s">
        <v>1551</v>
      </c>
      <c r="D158" s="15" t="s">
        <v>49</v>
      </c>
      <c r="E158" s="224"/>
      <c r="F158" s="224"/>
      <c r="G158" s="224"/>
      <c r="H158" s="138">
        <v>3</v>
      </c>
      <c r="I158" s="138">
        <v>2</v>
      </c>
      <c r="J158" s="138">
        <v>2</v>
      </c>
      <c r="K158" s="138">
        <v>0</v>
      </c>
      <c r="L158" s="138">
        <v>0</v>
      </c>
      <c r="M158" s="15" t="s">
        <v>1654</v>
      </c>
      <c r="N158" s="15"/>
      <c r="O158" s="259"/>
      <c r="P158" s="14" t="s">
        <v>1164</v>
      </c>
    </row>
    <row r="159" spans="1:16" ht="150">
      <c r="A159" s="13" t="s">
        <v>1655</v>
      </c>
      <c r="B159" s="15" t="s">
        <v>1656</v>
      </c>
      <c r="C159" s="15" t="s">
        <v>1551</v>
      </c>
      <c r="D159" s="15" t="s">
        <v>49</v>
      </c>
      <c r="E159" s="13" t="s">
        <v>1161</v>
      </c>
      <c r="F159" s="13" t="s">
        <v>1162</v>
      </c>
      <c r="G159" s="13" t="s">
        <v>1162</v>
      </c>
      <c r="H159" s="138">
        <v>3</v>
      </c>
      <c r="I159" s="138">
        <v>2</v>
      </c>
      <c r="J159" s="138">
        <v>3</v>
      </c>
      <c r="K159" s="138">
        <v>0</v>
      </c>
      <c r="L159" s="138">
        <v>0</v>
      </c>
      <c r="M159" s="15" t="s">
        <v>1657</v>
      </c>
      <c r="N159" s="15"/>
      <c r="O159" s="259"/>
      <c r="P159" s="14" t="s">
        <v>1164</v>
      </c>
    </row>
    <row r="160" spans="1:16" ht="90">
      <c r="A160" s="13" t="s">
        <v>1658</v>
      </c>
      <c r="B160" s="15" t="s">
        <v>1659</v>
      </c>
      <c r="C160" s="15" t="s">
        <v>1551</v>
      </c>
      <c r="D160" s="15" t="s">
        <v>49</v>
      </c>
      <c r="E160" s="224"/>
      <c r="F160" s="224"/>
      <c r="G160" s="224"/>
      <c r="H160" s="138">
        <v>2</v>
      </c>
      <c r="I160" s="138">
        <v>2</v>
      </c>
      <c r="J160" s="138">
        <v>0</v>
      </c>
      <c r="K160" s="138">
        <v>0</v>
      </c>
      <c r="L160" s="138">
        <v>0</v>
      </c>
      <c r="M160" s="15" t="s">
        <v>1660</v>
      </c>
      <c r="N160" s="15"/>
      <c r="O160" s="100"/>
      <c r="P160" s="14" t="s">
        <v>1164</v>
      </c>
    </row>
    <row r="161" spans="1:16" ht="150">
      <c r="A161" s="13" t="s">
        <v>1661</v>
      </c>
      <c r="B161" s="15" t="s">
        <v>1662</v>
      </c>
      <c r="C161" s="15" t="s">
        <v>1551</v>
      </c>
      <c r="D161" s="15" t="s">
        <v>49</v>
      </c>
      <c r="E161" s="13" t="s">
        <v>1161</v>
      </c>
      <c r="F161" s="13" t="s">
        <v>1162</v>
      </c>
      <c r="G161" s="13" t="s">
        <v>1162</v>
      </c>
      <c r="H161" s="138">
        <v>3</v>
      </c>
      <c r="I161" s="138">
        <v>2</v>
      </c>
      <c r="J161" s="138">
        <v>3</v>
      </c>
      <c r="K161" s="138">
        <v>0</v>
      </c>
      <c r="L161" s="138">
        <v>0</v>
      </c>
      <c r="M161" s="15" t="s">
        <v>1663</v>
      </c>
      <c r="N161" s="15"/>
      <c r="O161" s="100"/>
      <c r="P161" s="14" t="s">
        <v>1164</v>
      </c>
    </row>
    <row r="162" spans="1:16" ht="165">
      <c r="A162" s="13" t="s">
        <v>1664</v>
      </c>
      <c r="B162" s="15" t="s">
        <v>1665</v>
      </c>
      <c r="C162" s="15" t="s">
        <v>1551</v>
      </c>
      <c r="D162" s="15" t="s">
        <v>49</v>
      </c>
      <c r="E162" s="13" t="s">
        <v>1162</v>
      </c>
      <c r="F162" s="13" t="s">
        <v>1161</v>
      </c>
      <c r="G162" s="13" t="s">
        <v>1162</v>
      </c>
      <c r="H162" s="138">
        <v>3</v>
      </c>
      <c r="I162" s="138">
        <v>2</v>
      </c>
      <c r="J162" s="138">
        <v>3</v>
      </c>
      <c r="K162" s="138">
        <v>0</v>
      </c>
      <c r="L162" s="138">
        <v>0</v>
      </c>
      <c r="M162" s="15" t="s">
        <v>1666</v>
      </c>
      <c r="N162" s="15"/>
      <c r="O162" s="100"/>
      <c r="P162" s="14" t="s">
        <v>1164</v>
      </c>
    </row>
    <row r="163" spans="1:16" ht="180">
      <c r="A163" s="13" t="s">
        <v>1667</v>
      </c>
      <c r="B163" s="15" t="s">
        <v>1668</v>
      </c>
      <c r="C163" s="15" t="s">
        <v>1551</v>
      </c>
      <c r="D163" s="15" t="s">
        <v>49</v>
      </c>
      <c r="E163" s="13" t="s">
        <v>1162</v>
      </c>
      <c r="F163" s="13" t="s">
        <v>1161</v>
      </c>
      <c r="G163" s="13" t="s">
        <v>1162</v>
      </c>
      <c r="H163" s="138">
        <v>4</v>
      </c>
      <c r="I163" s="138">
        <v>3</v>
      </c>
      <c r="J163" s="138">
        <v>3</v>
      </c>
      <c r="K163" s="138">
        <v>0</v>
      </c>
      <c r="L163" s="138">
        <v>0</v>
      </c>
      <c r="M163" s="15" t="s">
        <v>1669</v>
      </c>
      <c r="N163" s="15"/>
      <c r="O163" s="100"/>
      <c r="P163" s="14" t="s">
        <v>1164</v>
      </c>
    </row>
    <row r="164" spans="1:16" ht="135">
      <c r="A164" s="13" t="s">
        <v>1670</v>
      </c>
      <c r="B164" s="15" t="s">
        <v>1671</v>
      </c>
      <c r="C164" s="15" t="s">
        <v>1551</v>
      </c>
      <c r="D164" s="15" t="s">
        <v>49</v>
      </c>
      <c r="E164" s="13" t="s">
        <v>1161</v>
      </c>
      <c r="F164" s="13" t="s">
        <v>1162</v>
      </c>
      <c r="G164" s="13" t="s">
        <v>1162</v>
      </c>
      <c r="H164" s="138">
        <v>3</v>
      </c>
      <c r="I164" s="138">
        <v>3</v>
      </c>
      <c r="J164" s="138">
        <v>0</v>
      </c>
      <c r="K164" s="138">
        <v>0</v>
      </c>
      <c r="L164" s="138">
        <v>0</v>
      </c>
      <c r="M164" s="15" t="s">
        <v>1672</v>
      </c>
      <c r="N164" s="15"/>
      <c r="O164" s="100"/>
      <c r="P164" s="14" t="s">
        <v>1164</v>
      </c>
    </row>
    <row r="165" spans="1:16" ht="150">
      <c r="A165" s="13" t="s">
        <v>1673</v>
      </c>
      <c r="B165" s="15" t="s">
        <v>1674</v>
      </c>
      <c r="C165" s="15" t="s">
        <v>1551</v>
      </c>
      <c r="D165" s="15" t="s">
        <v>49</v>
      </c>
      <c r="E165" s="13" t="s">
        <v>1162</v>
      </c>
      <c r="F165" s="13" t="s">
        <v>1161</v>
      </c>
      <c r="G165" s="13" t="s">
        <v>1162</v>
      </c>
      <c r="H165" s="138">
        <v>3</v>
      </c>
      <c r="I165" s="138">
        <v>2</v>
      </c>
      <c r="J165" s="138">
        <v>3</v>
      </c>
      <c r="K165" s="138">
        <v>0</v>
      </c>
      <c r="L165" s="138">
        <v>0</v>
      </c>
      <c r="M165" s="15" t="s">
        <v>1675</v>
      </c>
      <c r="N165" s="15"/>
      <c r="O165" s="100"/>
      <c r="P165" s="14" t="s">
        <v>1164</v>
      </c>
    </row>
    <row r="166" spans="1:16" ht="165">
      <c r="A166" s="13" t="s">
        <v>1676</v>
      </c>
      <c r="B166" s="15" t="s">
        <v>1677</v>
      </c>
      <c r="C166" s="15" t="s">
        <v>1551</v>
      </c>
      <c r="D166" s="15" t="s">
        <v>49</v>
      </c>
      <c r="E166" s="13" t="s">
        <v>1162</v>
      </c>
      <c r="F166" s="13" t="s">
        <v>1161</v>
      </c>
      <c r="G166" s="13" t="s">
        <v>1162</v>
      </c>
      <c r="H166" s="138">
        <v>4</v>
      </c>
      <c r="I166" s="138">
        <v>1</v>
      </c>
      <c r="J166" s="138">
        <v>9</v>
      </c>
      <c r="K166" s="138">
        <v>0</v>
      </c>
      <c r="L166" s="138">
        <v>0</v>
      </c>
      <c r="M166" s="15" t="s">
        <v>1678</v>
      </c>
      <c r="N166" s="15"/>
      <c r="O166" s="259"/>
      <c r="P166" s="14" t="s">
        <v>1164</v>
      </c>
    </row>
    <row r="167" spans="1:16" ht="150">
      <c r="A167" s="13" t="s">
        <v>1679</v>
      </c>
      <c r="B167" s="15" t="s">
        <v>1680</v>
      </c>
      <c r="C167" s="15" t="s">
        <v>1681</v>
      </c>
      <c r="D167" s="15" t="s">
        <v>49</v>
      </c>
      <c r="E167" s="13" t="s">
        <v>1161</v>
      </c>
      <c r="F167" s="13" t="s">
        <v>1162</v>
      </c>
      <c r="G167" s="13" t="s">
        <v>1162</v>
      </c>
      <c r="H167" s="138">
        <v>2</v>
      </c>
      <c r="I167" s="138">
        <v>1</v>
      </c>
      <c r="J167" s="138">
        <v>2</v>
      </c>
      <c r="K167" s="138">
        <v>0</v>
      </c>
      <c r="L167" s="138">
        <v>0</v>
      </c>
      <c r="M167" s="42" t="s">
        <v>1682</v>
      </c>
      <c r="N167" s="15"/>
      <c r="O167" s="259"/>
      <c r="P167" s="14" t="s">
        <v>1164</v>
      </c>
    </row>
    <row r="168" spans="1:16" ht="90">
      <c r="A168" s="13" t="s">
        <v>1683</v>
      </c>
      <c r="B168" s="15" t="s">
        <v>1684</v>
      </c>
      <c r="C168" s="15" t="s">
        <v>1681</v>
      </c>
      <c r="D168" s="15" t="s">
        <v>49</v>
      </c>
      <c r="E168" s="224"/>
      <c r="F168" s="224"/>
      <c r="G168" s="224"/>
      <c r="H168" s="138">
        <v>5</v>
      </c>
      <c r="I168" s="138">
        <v>4</v>
      </c>
      <c r="J168" s="138">
        <v>3</v>
      </c>
      <c r="K168" s="138">
        <v>0</v>
      </c>
      <c r="L168" s="138">
        <v>0</v>
      </c>
      <c r="M168" s="15" t="s">
        <v>1685</v>
      </c>
      <c r="N168" s="15"/>
      <c r="O168" s="100"/>
      <c r="P168" s="14" t="s">
        <v>1164</v>
      </c>
    </row>
    <row r="169" spans="1:16" ht="60">
      <c r="A169" s="13" t="s">
        <v>1686</v>
      </c>
      <c r="B169" s="15" t="s">
        <v>1687</v>
      </c>
      <c r="C169" s="15" t="s">
        <v>1681</v>
      </c>
      <c r="D169" s="15" t="s">
        <v>49</v>
      </c>
      <c r="E169" s="13" t="s">
        <v>1162</v>
      </c>
      <c r="F169" s="13" t="s">
        <v>1161</v>
      </c>
      <c r="G169" s="13" t="s">
        <v>1162</v>
      </c>
      <c r="H169" s="138">
        <v>2</v>
      </c>
      <c r="I169" s="138">
        <v>0</v>
      </c>
      <c r="J169" s="138">
        <v>4</v>
      </c>
      <c r="K169" s="138">
        <v>0</v>
      </c>
      <c r="L169" s="138">
        <v>0</v>
      </c>
      <c r="M169" s="15" t="s">
        <v>1688</v>
      </c>
      <c r="N169" s="15"/>
      <c r="O169" s="259"/>
      <c r="P169" s="14" t="s">
        <v>1164</v>
      </c>
    </row>
    <row r="170" spans="1:16" ht="60">
      <c r="A170" s="13" t="s">
        <v>1689</v>
      </c>
      <c r="B170" s="15" t="s">
        <v>1690</v>
      </c>
      <c r="C170" s="15" t="s">
        <v>1691</v>
      </c>
      <c r="D170" s="15" t="s">
        <v>49</v>
      </c>
      <c r="E170" s="13" t="s">
        <v>1161</v>
      </c>
      <c r="F170" s="13" t="s">
        <v>1162</v>
      </c>
      <c r="G170" s="13" t="s">
        <v>1162</v>
      </c>
      <c r="H170" s="138">
        <v>5</v>
      </c>
      <c r="I170" s="138">
        <v>3</v>
      </c>
      <c r="J170" s="138">
        <v>6</v>
      </c>
      <c r="K170" s="138">
        <v>0</v>
      </c>
      <c r="L170" s="138">
        <v>0</v>
      </c>
      <c r="M170" s="15" t="s">
        <v>1692</v>
      </c>
      <c r="N170" s="15"/>
      <c r="O170" s="100"/>
      <c r="P170" s="14" t="s">
        <v>1164</v>
      </c>
    </row>
    <row r="171" spans="1:16" ht="60">
      <c r="A171" s="13" t="s">
        <v>1693</v>
      </c>
      <c r="B171" s="15" t="s">
        <v>1694</v>
      </c>
      <c r="C171" s="15" t="s">
        <v>1691</v>
      </c>
      <c r="D171" s="15" t="s">
        <v>49</v>
      </c>
      <c r="E171" s="13" t="s">
        <v>1162</v>
      </c>
      <c r="F171" s="13" t="s">
        <v>1161</v>
      </c>
      <c r="G171" s="13" t="s">
        <v>1162</v>
      </c>
      <c r="H171" s="138">
        <v>4</v>
      </c>
      <c r="I171" s="138">
        <v>2</v>
      </c>
      <c r="J171" s="138">
        <v>6</v>
      </c>
      <c r="K171" s="138">
        <v>0</v>
      </c>
      <c r="L171" s="138">
        <v>0</v>
      </c>
      <c r="M171" s="15" t="s">
        <v>1695</v>
      </c>
      <c r="N171" s="15"/>
      <c r="O171" s="100"/>
      <c r="P171" s="14" t="s">
        <v>1164</v>
      </c>
    </row>
    <row r="172" spans="1:16" ht="75">
      <c r="A172" s="13" t="s">
        <v>1696</v>
      </c>
      <c r="B172" s="15" t="s">
        <v>1697</v>
      </c>
      <c r="C172" s="15" t="s">
        <v>1691</v>
      </c>
      <c r="D172" s="15" t="s">
        <v>49</v>
      </c>
      <c r="E172" s="13" t="s">
        <v>1162</v>
      </c>
      <c r="F172" s="13" t="s">
        <v>1161</v>
      </c>
      <c r="G172" s="13" t="s">
        <v>1162</v>
      </c>
      <c r="H172" s="138">
        <v>3</v>
      </c>
      <c r="I172" s="138">
        <v>2</v>
      </c>
      <c r="J172" s="138">
        <v>3</v>
      </c>
      <c r="K172" s="138">
        <v>0</v>
      </c>
      <c r="L172" s="138">
        <v>0</v>
      </c>
      <c r="M172" s="15" t="s">
        <v>1698</v>
      </c>
      <c r="N172" s="15"/>
      <c r="O172" s="100"/>
      <c r="P172" s="14" t="s">
        <v>1164</v>
      </c>
    </row>
    <row r="173" spans="1:16" ht="90">
      <c r="A173" s="13" t="s">
        <v>1699</v>
      </c>
      <c r="B173" s="15" t="s">
        <v>1700</v>
      </c>
      <c r="C173" s="15" t="s">
        <v>1691</v>
      </c>
      <c r="D173" s="15" t="s">
        <v>49</v>
      </c>
      <c r="E173" s="13" t="s">
        <v>1161</v>
      </c>
      <c r="F173" s="13" t="s">
        <v>1162</v>
      </c>
      <c r="G173" s="13" t="s">
        <v>1162</v>
      </c>
      <c r="H173" s="138">
        <v>4</v>
      </c>
      <c r="I173" s="138">
        <v>3</v>
      </c>
      <c r="J173" s="138">
        <v>3</v>
      </c>
      <c r="K173" s="138">
        <v>0</v>
      </c>
      <c r="L173" s="138">
        <v>0</v>
      </c>
      <c r="M173" s="15" t="s">
        <v>1701</v>
      </c>
      <c r="N173" s="15"/>
      <c r="O173" s="100"/>
      <c r="P173" s="14" t="s">
        <v>1164</v>
      </c>
    </row>
    <row r="174" spans="1:16" ht="60">
      <c r="A174" s="13" t="s">
        <v>1702</v>
      </c>
      <c r="B174" s="15" t="s">
        <v>1703</v>
      </c>
      <c r="C174" s="15" t="s">
        <v>1691</v>
      </c>
      <c r="D174" s="15" t="s">
        <v>49</v>
      </c>
      <c r="E174" s="13" t="s">
        <v>1162</v>
      </c>
      <c r="F174" s="13" t="s">
        <v>1161</v>
      </c>
      <c r="G174" s="13" t="s">
        <v>1162</v>
      </c>
      <c r="H174" s="138">
        <v>4</v>
      </c>
      <c r="I174" s="138">
        <v>3</v>
      </c>
      <c r="J174" s="138">
        <v>2</v>
      </c>
      <c r="K174" s="138">
        <v>0</v>
      </c>
      <c r="L174" s="138">
        <v>0</v>
      </c>
      <c r="M174" s="15" t="s">
        <v>1704</v>
      </c>
      <c r="N174" s="15"/>
      <c r="O174" s="259"/>
      <c r="P174" s="14" t="s">
        <v>1164</v>
      </c>
    </row>
    <row r="175" spans="1:16" ht="75">
      <c r="A175" s="13" t="s">
        <v>1705</v>
      </c>
      <c r="B175" s="15" t="s">
        <v>1706</v>
      </c>
      <c r="C175" s="15" t="s">
        <v>1707</v>
      </c>
      <c r="D175" s="15" t="s">
        <v>49</v>
      </c>
      <c r="E175" s="13" t="s">
        <v>1162</v>
      </c>
      <c r="F175" s="13" t="s">
        <v>1161</v>
      </c>
      <c r="G175" s="13" t="s">
        <v>1162</v>
      </c>
      <c r="H175" s="138">
        <v>4</v>
      </c>
      <c r="I175" s="138">
        <v>3</v>
      </c>
      <c r="J175" s="138">
        <v>3</v>
      </c>
      <c r="K175" s="138">
        <v>0</v>
      </c>
      <c r="L175" s="138">
        <v>0</v>
      </c>
      <c r="M175" s="15" t="s">
        <v>1708</v>
      </c>
      <c r="N175" s="15"/>
      <c r="O175" s="100"/>
      <c r="P175" s="14" t="s">
        <v>1164</v>
      </c>
    </row>
    <row r="176" spans="1:16" ht="90">
      <c r="A176" s="13" t="s">
        <v>1709</v>
      </c>
      <c r="B176" s="15" t="s">
        <v>1710</v>
      </c>
      <c r="C176" s="15" t="s">
        <v>1707</v>
      </c>
      <c r="D176" s="15" t="s">
        <v>49</v>
      </c>
      <c r="E176" s="13" t="s">
        <v>1162</v>
      </c>
      <c r="F176" s="13" t="s">
        <v>1161</v>
      </c>
      <c r="G176" s="13" t="s">
        <v>1162</v>
      </c>
      <c r="H176" s="138">
        <v>4</v>
      </c>
      <c r="I176" s="138">
        <v>3</v>
      </c>
      <c r="J176" s="138">
        <v>3</v>
      </c>
      <c r="K176" s="138">
        <v>0</v>
      </c>
      <c r="L176" s="138">
        <v>0</v>
      </c>
      <c r="M176" s="15" t="s">
        <v>1711</v>
      </c>
      <c r="N176" s="15"/>
      <c r="O176" s="100"/>
      <c r="P176" s="14" t="s">
        <v>1164</v>
      </c>
    </row>
    <row r="177" spans="1:16" ht="75">
      <c r="A177" s="13" t="s">
        <v>1712</v>
      </c>
      <c r="B177" s="15" t="s">
        <v>1713</v>
      </c>
      <c r="C177" s="15" t="s">
        <v>1707</v>
      </c>
      <c r="D177" s="15" t="s">
        <v>49</v>
      </c>
      <c r="E177" s="13" t="s">
        <v>1161</v>
      </c>
      <c r="F177" s="13" t="s">
        <v>1161</v>
      </c>
      <c r="G177" s="13" t="s">
        <v>1162</v>
      </c>
      <c r="H177" s="138">
        <v>4</v>
      </c>
      <c r="I177" s="138">
        <v>3</v>
      </c>
      <c r="J177" s="138">
        <v>3</v>
      </c>
      <c r="K177" s="138">
        <v>0</v>
      </c>
      <c r="L177" s="138">
        <v>0</v>
      </c>
      <c r="M177" s="15" t="s">
        <v>1714</v>
      </c>
      <c r="N177" s="15"/>
      <c r="O177" s="100"/>
      <c r="P177" s="14" t="s">
        <v>1164</v>
      </c>
    </row>
    <row r="178" spans="1:16" ht="105">
      <c r="A178" s="13" t="s">
        <v>1715</v>
      </c>
      <c r="B178" s="15" t="s">
        <v>1716</v>
      </c>
      <c r="C178" s="15" t="s">
        <v>1707</v>
      </c>
      <c r="D178" s="15" t="s">
        <v>49</v>
      </c>
      <c r="E178" s="13" t="s">
        <v>1162</v>
      </c>
      <c r="F178" s="13" t="s">
        <v>1161</v>
      </c>
      <c r="G178" s="13" t="s">
        <v>1162</v>
      </c>
      <c r="H178" s="138">
        <v>3</v>
      </c>
      <c r="I178" s="138">
        <v>2</v>
      </c>
      <c r="J178" s="138">
        <v>3</v>
      </c>
      <c r="K178" s="138">
        <v>0</v>
      </c>
      <c r="L178" s="138">
        <v>0</v>
      </c>
      <c r="M178" s="15" t="s">
        <v>1717</v>
      </c>
      <c r="N178" s="15"/>
      <c r="O178" s="259"/>
      <c r="P178" s="14" t="s">
        <v>1164</v>
      </c>
    </row>
    <row r="179" spans="1:16" ht="90">
      <c r="A179" s="13" t="s">
        <v>1718</v>
      </c>
      <c r="B179" s="15" t="s">
        <v>1719</v>
      </c>
      <c r="C179" s="15" t="s">
        <v>1707</v>
      </c>
      <c r="D179" s="15" t="s">
        <v>49</v>
      </c>
      <c r="E179" s="13" t="s">
        <v>1161</v>
      </c>
      <c r="F179" s="13" t="s">
        <v>1162</v>
      </c>
      <c r="G179" s="13" t="s">
        <v>1162</v>
      </c>
      <c r="H179" s="138">
        <v>4</v>
      </c>
      <c r="I179" s="138">
        <v>3</v>
      </c>
      <c r="J179" s="138">
        <v>3</v>
      </c>
      <c r="K179" s="138">
        <v>0</v>
      </c>
      <c r="L179" s="138">
        <v>0</v>
      </c>
      <c r="M179" s="15" t="s">
        <v>1720</v>
      </c>
      <c r="N179" s="15"/>
      <c r="O179" s="100"/>
      <c r="P179" s="14" t="s">
        <v>1164</v>
      </c>
    </row>
    <row r="180" spans="1:16" ht="90">
      <c r="A180" s="13" t="s">
        <v>1721</v>
      </c>
      <c r="B180" s="15" t="s">
        <v>1722</v>
      </c>
      <c r="C180" s="15" t="s">
        <v>1707</v>
      </c>
      <c r="D180" s="15" t="s">
        <v>49</v>
      </c>
      <c r="E180" s="13" t="s">
        <v>1161</v>
      </c>
      <c r="F180" s="13" t="s">
        <v>1162</v>
      </c>
      <c r="G180" s="13" t="s">
        <v>1162</v>
      </c>
      <c r="H180" s="138">
        <v>4</v>
      </c>
      <c r="I180" s="138">
        <v>3</v>
      </c>
      <c r="J180" s="138">
        <v>3</v>
      </c>
      <c r="K180" s="138">
        <v>0</v>
      </c>
      <c r="L180" s="138">
        <v>0</v>
      </c>
      <c r="M180" s="15" t="s">
        <v>1723</v>
      </c>
      <c r="N180" s="15"/>
      <c r="O180" s="100"/>
      <c r="P180" s="14" t="s">
        <v>1164</v>
      </c>
    </row>
    <row r="181" spans="1:16" ht="180">
      <c r="A181" s="13" t="s">
        <v>1724</v>
      </c>
      <c r="B181" s="15" t="s">
        <v>1725</v>
      </c>
      <c r="C181" s="15" t="s">
        <v>1726</v>
      </c>
      <c r="D181" s="15" t="s">
        <v>49</v>
      </c>
      <c r="E181" s="13" t="s">
        <v>1161</v>
      </c>
      <c r="F181" s="13" t="s">
        <v>1162</v>
      </c>
      <c r="G181" s="13" t="s">
        <v>1162</v>
      </c>
      <c r="H181" s="138">
        <v>3</v>
      </c>
      <c r="I181" s="138">
        <v>2</v>
      </c>
      <c r="J181" s="138">
        <v>2</v>
      </c>
      <c r="K181" s="138">
        <v>0</v>
      </c>
      <c r="L181" s="138">
        <v>0</v>
      </c>
      <c r="M181" s="15" t="s">
        <v>1727</v>
      </c>
      <c r="N181" s="15"/>
      <c r="O181" s="100"/>
      <c r="P181" s="14" t="s">
        <v>1164</v>
      </c>
    </row>
    <row r="182" spans="1:16" ht="165">
      <c r="A182" s="13" t="s">
        <v>1728</v>
      </c>
      <c r="B182" s="15" t="s">
        <v>1729</v>
      </c>
      <c r="C182" s="15" t="s">
        <v>1726</v>
      </c>
      <c r="D182" s="15" t="s">
        <v>49</v>
      </c>
      <c r="E182" s="13" t="s">
        <v>1162</v>
      </c>
      <c r="F182" s="13" t="s">
        <v>1161</v>
      </c>
      <c r="G182" s="13" t="s">
        <v>1162</v>
      </c>
      <c r="H182" s="138">
        <v>3</v>
      </c>
      <c r="I182" s="138">
        <v>2</v>
      </c>
      <c r="J182" s="138">
        <v>2</v>
      </c>
      <c r="K182" s="138">
        <v>0</v>
      </c>
      <c r="L182" s="138">
        <v>0</v>
      </c>
      <c r="M182" s="15" t="s">
        <v>1730</v>
      </c>
      <c r="N182" s="15"/>
      <c r="O182" s="100"/>
      <c r="P182" s="14" t="s">
        <v>1164</v>
      </c>
    </row>
    <row r="183" spans="1:16" ht="165">
      <c r="A183" s="13" t="s">
        <v>1731</v>
      </c>
      <c r="B183" s="15" t="s">
        <v>1732</v>
      </c>
      <c r="C183" s="15" t="s">
        <v>1726</v>
      </c>
      <c r="D183" s="15" t="s">
        <v>49</v>
      </c>
      <c r="E183" s="13" t="s">
        <v>1161</v>
      </c>
      <c r="F183" s="13" t="s">
        <v>1162</v>
      </c>
      <c r="G183" s="13" t="s">
        <v>1162</v>
      </c>
      <c r="H183" s="138">
        <v>3</v>
      </c>
      <c r="I183" s="138">
        <v>2</v>
      </c>
      <c r="J183" s="138">
        <v>2</v>
      </c>
      <c r="K183" s="138">
        <v>0</v>
      </c>
      <c r="L183" s="138">
        <v>0</v>
      </c>
      <c r="M183" s="15" t="s">
        <v>1733</v>
      </c>
      <c r="N183" s="15"/>
      <c r="O183" s="100"/>
      <c r="P183" s="14" t="s">
        <v>1164</v>
      </c>
    </row>
    <row r="184" spans="1:16" ht="75">
      <c r="A184" s="13" t="s">
        <v>1734</v>
      </c>
      <c r="B184" s="15" t="s">
        <v>1735</v>
      </c>
      <c r="C184" s="15" t="s">
        <v>1736</v>
      </c>
      <c r="D184" s="15" t="s">
        <v>49</v>
      </c>
      <c r="E184" s="13" t="s">
        <v>1161</v>
      </c>
      <c r="F184" s="13" t="s">
        <v>1162</v>
      </c>
      <c r="G184" s="13" t="s">
        <v>1162</v>
      </c>
      <c r="H184" s="138">
        <v>9</v>
      </c>
      <c r="I184" s="138">
        <v>6</v>
      </c>
      <c r="J184" s="138">
        <v>6</v>
      </c>
      <c r="K184" s="138">
        <v>3</v>
      </c>
      <c r="L184" s="138">
        <v>0</v>
      </c>
      <c r="M184" s="15" t="s">
        <v>1737</v>
      </c>
      <c r="N184" s="15"/>
      <c r="O184" s="100"/>
      <c r="P184" s="14" t="s">
        <v>1164</v>
      </c>
    </row>
    <row r="185" spans="1:16" ht="60">
      <c r="A185" s="13" t="s">
        <v>1738</v>
      </c>
      <c r="B185" s="15" t="s">
        <v>1739</v>
      </c>
      <c r="C185" s="15" t="s">
        <v>1736</v>
      </c>
      <c r="D185" s="15" t="s">
        <v>49</v>
      </c>
      <c r="E185" s="13" t="s">
        <v>1162</v>
      </c>
      <c r="F185" s="13" t="s">
        <v>1161</v>
      </c>
      <c r="G185" s="13" t="s">
        <v>1162</v>
      </c>
      <c r="H185" s="138">
        <v>1</v>
      </c>
      <c r="I185" s="138">
        <v>0</v>
      </c>
      <c r="J185" s="138">
        <v>0</v>
      </c>
      <c r="K185" s="138">
        <v>3</v>
      </c>
      <c r="L185" s="138">
        <v>0</v>
      </c>
      <c r="M185" s="15" t="s">
        <v>1740</v>
      </c>
      <c r="N185" s="15"/>
      <c r="O185" s="100"/>
      <c r="P185" s="14" t="s">
        <v>1164</v>
      </c>
    </row>
    <row r="186" spans="1:16" ht="105">
      <c r="A186" s="13" t="s">
        <v>1741</v>
      </c>
      <c r="B186" s="15" t="s">
        <v>1742</v>
      </c>
      <c r="C186" s="15" t="s">
        <v>1736</v>
      </c>
      <c r="D186" s="15" t="s">
        <v>49</v>
      </c>
      <c r="E186" s="13" t="s">
        <v>1162</v>
      </c>
      <c r="F186" s="13" t="s">
        <v>1161</v>
      </c>
      <c r="G186" s="13" t="s">
        <v>1162</v>
      </c>
      <c r="H186" s="138">
        <v>4</v>
      </c>
      <c r="I186" s="138">
        <v>3</v>
      </c>
      <c r="J186" s="138">
        <v>3</v>
      </c>
      <c r="K186" s="138">
        <v>0</v>
      </c>
      <c r="L186" s="138">
        <v>0</v>
      </c>
      <c r="M186" s="15" t="s">
        <v>1743</v>
      </c>
      <c r="N186" s="15"/>
      <c r="O186" s="100"/>
      <c r="P186" s="14" t="s">
        <v>1164</v>
      </c>
    </row>
    <row r="187" spans="1:16" ht="75">
      <c r="A187" s="13" t="s">
        <v>1744</v>
      </c>
      <c r="B187" s="15" t="s">
        <v>1745</v>
      </c>
      <c r="C187" s="15" t="s">
        <v>1736</v>
      </c>
      <c r="D187" s="15" t="s">
        <v>49</v>
      </c>
      <c r="E187" s="13" t="s">
        <v>1162</v>
      </c>
      <c r="F187" s="13" t="s">
        <v>1161</v>
      </c>
      <c r="G187" s="13" t="s">
        <v>1162</v>
      </c>
      <c r="H187" s="138">
        <v>2</v>
      </c>
      <c r="I187" s="138">
        <v>1</v>
      </c>
      <c r="J187" s="138">
        <v>2</v>
      </c>
      <c r="K187" s="138">
        <v>0</v>
      </c>
      <c r="L187" s="138">
        <v>0</v>
      </c>
      <c r="M187" s="15" t="s">
        <v>1746</v>
      </c>
      <c r="N187" s="15"/>
      <c r="O187" s="100"/>
      <c r="P187" s="14" t="s">
        <v>1164</v>
      </c>
    </row>
    <row r="188" spans="1:16" ht="75">
      <c r="A188" s="13" t="s">
        <v>1747</v>
      </c>
      <c r="B188" s="15" t="s">
        <v>1748</v>
      </c>
      <c r="C188" s="15" t="s">
        <v>1736</v>
      </c>
      <c r="D188" s="15" t="s">
        <v>49</v>
      </c>
      <c r="E188" s="13" t="s">
        <v>1162</v>
      </c>
      <c r="F188" s="13" t="s">
        <v>1161</v>
      </c>
      <c r="G188" s="13" t="s">
        <v>1162</v>
      </c>
      <c r="H188" s="138">
        <v>3</v>
      </c>
      <c r="I188" s="138">
        <v>2</v>
      </c>
      <c r="J188" s="138">
        <v>3</v>
      </c>
      <c r="K188" s="138">
        <v>0</v>
      </c>
      <c r="L188" s="138">
        <v>0</v>
      </c>
      <c r="M188" s="15" t="s">
        <v>1749</v>
      </c>
      <c r="N188" s="15"/>
      <c r="O188" s="100"/>
      <c r="P188" s="14" t="s">
        <v>1164</v>
      </c>
    </row>
    <row r="189" spans="1:16" ht="60">
      <c r="A189" s="13" t="s">
        <v>1750</v>
      </c>
      <c r="B189" s="15" t="s">
        <v>1751</v>
      </c>
      <c r="C189" s="15" t="s">
        <v>1736</v>
      </c>
      <c r="D189" s="15" t="s">
        <v>49</v>
      </c>
      <c r="E189" s="13" t="s">
        <v>1162</v>
      </c>
      <c r="F189" s="13" t="s">
        <v>1162</v>
      </c>
      <c r="G189" s="13" t="s">
        <v>1161</v>
      </c>
      <c r="H189" s="138">
        <v>3</v>
      </c>
      <c r="I189" s="138">
        <v>2</v>
      </c>
      <c r="J189" s="138">
        <v>3</v>
      </c>
      <c r="K189" s="138">
        <v>0</v>
      </c>
      <c r="L189" s="138">
        <v>0</v>
      </c>
      <c r="M189" s="15" t="s">
        <v>1752</v>
      </c>
      <c r="N189" s="15"/>
      <c r="O189" s="100"/>
      <c r="P189" s="14" t="s">
        <v>1164</v>
      </c>
    </row>
    <row r="190" spans="1:16" ht="60">
      <c r="A190" s="13" t="s">
        <v>1753</v>
      </c>
      <c r="B190" s="15" t="s">
        <v>1754</v>
      </c>
      <c r="C190" s="15" t="s">
        <v>1736</v>
      </c>
      <c r="D190" s="15" t="s">
        <v>49</v>
      </c>
      <c r="E190" s="13" t="s">
        <v>1162</v>
      </c>
      <c r="F190" s="13" t="s">
        <v>1162</v>
      </c>
      <c r="G190" s="13" t="s">
        <v>1161</v>
      </c>
      <c r="H190" s="138">
        <v>2</v>
      </c>
      <c r="I190" s="138">
        <v>0</v>
      </c>
      <c r="J190" s="138">
        <v>0</v>
      </c>
      <c r="K190" s="138">
        <v>6</v>
      </c>
      <c r="L190" s="138">
        <v>0</v>
      </c>
      <c r="M190" s="15" t="s">
        <v>1755</v>
      </c>
      <c r="N190" s="15"/>
      <c r="O190" s="100"/>
      <c r="P190" s="14" t="s">
        <v>1164</v>
      </c>
    </row>
    <row r="191" spans="1:16" ht="60">
      <c r="A191" s="13" t="s">
        <v>1756</v>
      </c>
      <c r="B191" s="15" t="s">
        <v>1757</v>
      </c>
      <c r="C191" s="15" t="s">
        <v>1736</v>
      </c>
      <c r="D191" s="15" t="s">
        <v>49</v>
      </c>
      <c r="E191" s="13" t="s">
        <v>1161</v>
      </c>
      <c r="F191" s="13" t="s">
        <v>1162</v>
      </c>
      <c r="G191" s="13" t="s">
        <v>1162</v>
      </c>
      <c r="H191" s="138">
        <v>3</v>
      </c>
      <c r="I191" s="138">
        <v>0</v>
      </c>
      <c r="J191" s="138">
        <v>0</v>
      </c>
      <c r="K191" s="138">
        <v>9</v>
      </c>
      <c r="L191" s="138">
        <v>0</v>
      </c>
      <c r="M191" s="15" t="s">
        <v>1758</v>
      </c>
      <c r="N191" s="15"/>
      <c r="O191" s="100"/>
      <c r="P191" s="14" t="s">
        <v>1164</v>
      </c>
    </row>
    <row r="192" spans="1:16" ht="90">
      <c r="A192" s="13" t="s">
        <v>1759</v>
      </c>
      <c r="B192" s="15" t="s">
        <v>1760</v>
      </c>
      <c r="C192" s="15" t="s">
        <v>1736</v>
      </c>
      <c r="D192" s="15" t="s">
        <v>49</v>
      </c>
      <c r="E192" s="13" t="s">
        <v>1162</v>
      </c>
      <c r="F192" s="13" t="s">
        <v>1161</v>
      </c>
      <c r="G192" s="13" t="s">
        <v>1162</v>
      </c>
      <c r="H192" s="138">
        <v>2</v>
      </c>
      <c r="I192" s="138">
        <v>2</v>
      </c>
      <c r="J192" s="138">
        <v>0</v>
      </c>
      <c r="K192" s="138">
        <v>0</v>
      </c>
      <c r="L192" s="138">
        <v>0</v>
      </c>
      <c r="M192" s="15" t="s">
        <v>1761</v>
      </c>
      <c r="N192" s="15"/>
      <c r="O192" s="100"/>
      <c r="P192" s="14" t="s">
        <v>1164</v>
      </c>
    </row>
    <row r="193" spans="1:16" ht="105">
      <c r="A193" s="13" t="s">
        <v>1762</v>
      </c>
      <c r="B193" s="15" t="s">
        <v>1763</v>
      </c>
      <c r="C193" s="15" t="s">
        <v>1736</v>
      </c>
      <c r="D193" s="15" t="s">
        <v>49</v>
      </c>
      <c r="E193" s="13" t="s">
        <v>1161</v>
      </c>
      <c r="F193" s="13" t="s">
        <v>1162</v>
      </c>
      <c r="G193" s="13" t="s">
        <v>1162</v>
      </c>
      <c r="H193" s="138">
        <v>2</v>
      </c>
      <c r="I193" s="138">
        <v>1</v>
      </c>
      <c r="J193" s="138">
        <v>2</v>
      </c>
      <c r="K193" s="138">
        <v>0</v>
      </c>
      <c r="L193" s="138">
        <v>0</v>
      </c>
      <c r="M193" s="15" t="s">
        <v>1764</v>
      </c>
      <c r="N193" s="15"/>
      <c r="O193" s="100"/>
      <c r="P193" s="14" t="s">
        <v>1164</v>
      </c>
    </row>
    <row r="194" spans="1:16" ht="60">
      <c r="A194" s="13" t="s">
        <v>1765</v>
      </c>
      <c r="B194" s="15" t="s">
        <v>1766</v>
      </c>
      <c r="C194" s="15" t="s">
        <v>1736</v>
      </c>
      <c r="D194" s="15" t="s">
        <v>49</v>
      </c>
      <c r="E194" s="13" t="s">
        <v>1162</v>
      </c>
      <c r="F194" s="13" t="s">
        <v>1161</v>
      </c>
      <c r="G194" s="13" t="s">
        <v>1162</v>
      </c>
      <c r="H194" s="138">
        <v>4</v>
      </c>
      <c r="I194" s="138">
        <v>0</v>
      </c>
      <c r="J194" s="138">
        <v>0</v>
      </c>
      <c r="K194" s="138">
        <v>12</v>
      </c>
      <c r="L194" s="138">
        <v>0</v>
      </c>
      <c r="M194" s="15" t="s">
        <v>1767</v>
      </c>
      <c r="N194" s="15"/>
      <c r="O194" s="100"/>
      <c r="P194" s="14" t="s">
        <v>1164</v>
      </c>
    </row>
    <row r="195" spans="1:16" ht="150">
      <c r="A195" s="13" t="s">
        <v>1768</v>
      </c>
      <c r="B195" s="15" t="s">
        <v>1769</v>
      </c>
      <c r="C195" s="15" t="s">
        <v>1736</v>
      </c>
      <c r="D195" s="15" t="s">
        <v>49</v>
      </c>
      <c r="E195" s="13" t="s">
        <v>1161</v>
      </c>
      <c r="F195" s="13" t="s">
        <v>1162</v>
      </c>
      <c r="G195" s="13" t="s">
        <v>1162</v>
      </c>
      <c r="H195" s="138">
        <v>4</v>
      </c>
      <c r="I195" s="138">
        <v>3</v>
      </c>
      <c r="J195" s="138">
        <v>3</v>
      </c>
      <c r="K195" s="138">
        <v>0</v>
      </c>
      <c r="L195" s="138">
        <v>0</v>
      </c>
      <c r="M195" s="15" t="s">
        <v>1770</v>
      </c>
      <c r="N195" s="15"/>
      <c r="O195" s="100"/>
      <c r="P195" s="14" t="s">
        <v>1164</v>
      </c>
    </row>
    <row r="196" spans="1:16" ht="120">
      <c r="A196" s="13" t="s">
        <v>1771</v>
      </c>
      <c r="B196" s="15" t="s">
        <v>1772</v>
      </c>
      <c r="C196" s="15" t="s">
        <v>1736</v>
      </c>
      <c r="D196" s="15" t="s">
        <v>49</v>
      </c>
      <c r="E196" s="13" t="s">
        <v>1161</v>
      </c>
      <c r="F196" s="13" t="s">
        <v>1162</v>
      </c>
      <c r="G196" s="13" t="s">
        <v>1162</v>
      </c>
      <c r="H196" s="138">
        <v>2</v>
      </c>
      <c r="I196" s="138">
        <v>1</v>
      </c>
      <c r="J196" s="138">
        <v>3</v>
      </c>
      <c r="K196" s="138">
        <v>0</v>
      </c>
      <c r="L196" s="138">
        <v>0</v>
      </c>
      <c r="M196" s="15" t="s">
        <v>1773</v>
      </c>
      <c r="N196" s="15"/>
      <c r="O196" s="100"/>
      <c r="P196" s="14" t="s">
        <v>1164</v>
      </c>
    </row>
    <row r="197" spans="1:16" ht="75">
      <c r="A197" s="13" t="s">
        <v>1774</v>
      </c>
      <c r="B197" s="15" t="s">
        <v>1775</v>
      </c>
      <c r="C197" s="15" t="s">
        <v>1736</v>
      </c>
      <c r="D197" s="15" t="s">
        <v>49</v>
      </c>
      <c r="E197" s="13" t="s">
        <v>1161</v>
      </c>
      <c r="F197" s="13" t="s">
        <v>1162</v>
      </c>
      <c r="G197" s="13" t="s">
        <v>1162</v>
      </c>
      <c r="H197" s="138">
        <v>4</v>
      </c>
      <c r="I197" s="138">
        <v>3</v>
      </c>
      <c r="J197" s="138">
        <v>3</v>
      </c>
      <c r="K197" s="138">
        <v>0</v>
      </c>
      <c r="L197" s="138">
        <v>0</v>
      </c>
      <c r="M197" s="15" t="s">
        <v>1776</v>
      </c>
      <c r="N197" s="15"/>
      <c r="O197" s="100"/>
      <c r="P197" s="14" t="s">
        <v>1164</v>
      </c>
    </row>
    <row r="198" spans="1:16" ht="75">
      <c r="A198" s="13" t="s">
        <v>1777</v>
      </c>
      <c r="B198" s="15" t="s">
        <v>1778</v>
      </c>
      <c r="C198" s="15" t="s">
        <v>1736</v>
      </c>
      <c r="D198" s="15" t="s">
        <v>49</v>
      </c>
      <c r="E198" s="13" t="s">
        <v>1161</v>
      </c>
      <c r="F198" s="13" t="s">
        <v>1162</v>
      </c>
      <c r="G198" s="13" t="s">
        <v>1162</v>
      </c>
      <c r="H198" s="138">
        <v>3</v>
      </c>
      <c r="I198" s="138">
        <v>2</v>
      </c>
      <c r="J198" s="138">
        <v>2</v>
      </c>
      <c r="K198" s="138">
        <v>0</v>
      </c>
      <c r="L198" s="138">
        <v>0</v>
      </c>
      <c r="M198" s="15" t="s">
        <v>1779</v>
      </c>
      <c r="N198" s="15"/>
      <c r="O198" s="100"/>
      <c r="P198" s="14" t="s">
        <v>1164</v>
      </c>
    </row>
    <row r="199" spans="1:16" ht="90">
      <c r="A199" s="13" t="s">
        <v>1780</v>
      </c>
      <c r="B199" s="15" t="s">
        <v>1781</v>
      </c>
      <c r="C199" s="15" t="s">
        <v>1736</v>
      </c>
      <c r="D199" s="15" t="s">
        <v>49</v>
      </c>
      <c r="E199" s="13" t="s">
        <v>1162</v>
      </c>
      <c r="F199" s="13" t="s">
        <v>1161</v>
      </c>
      <c r="G199" s="13" t="s">
        <v>1162</v>
      </c>
      <c r="H199" s="138">
        <v>2</v>
      </c>
      <c r="I199" s="138">
        <v>1</v>
      </c>
      <c r="J199" s="138">
        <v>3</v>
      </c>
      <c r="K199" s="138">
        <v>0</v>
      </c>
      <c r="L199" s="138">
        <v>0</v>
      </c>
      <c r="M199" s="15" t="s">
        <v>1782</v>
      </c>
      <c r="N199" s="15"/>
      <c r="O199" s="100"/>
      <c r="P199" s="14" t="s">
        <v>1164</v>
      </c>
    </row>
    <row r="200" spans="1:16" ht="105">
      <c r="A200" s="13" t="s">
        <v>1783</v>
      </c>
      <c r="B200" s="15" t="s">
        <v>1784</v>
      </c>
      <c r="C200" s="15" t="s">
        <v>1785</v>
      </c>
      <c r="D200" s="15" t="s">
        <v>49</v>
      </c>
      <c r="E200" s="13" t="s">
        <v>1161</v>
      </c>
      <c r="F200" s="13" t="s">
        <v>1161</v>
      </c>
      <c r="G200" s="13" t="s">
        <v>1161</v>
      </c>
      <c r="H200" s="138">
        <v>3</v>
      </c>
      <c r="I200" s="138">
        <v>3</v>
      </c>
      <c r="J200" s="138">
        <v>0</v>
      </c>
      <c r="K200" s="138">
        <v>0</v>
      </c>
      <c r="L200" s="138">
        <v>0</v>
      </c>
      <c r="M200" s="15" t="s">
        <v>1786</v>
      </c>
      <c r="N200" s="15"/>
      <c r="O200" s="259"/>
      <c r="P200" s="14" t="s">
        <v>1164</v>
      </c>
    </row>
    <row r="201" spans="1:16" ht="90">
      <c r="A201" s="13" t="s">
        <v>1787</v>
      </c>
      <c r="B201" s="15" t="s">
        <v>1788</v>
      </c>
      <c r="C201" s="15" t="s">
        <v>1785</v>
      </c>
      <c r="D201" s="15" t="s">
        <v>49</v>
      </c>
      <c r="E201" s="13" t="s">
        <v>1162</v>
      </c>
      <c r="F201" s="13" t="s">
        <v>1161</v>
      </c>
      <c r="G201" s="13" t="s">
        <v>1162</v>
      </c>
      <c r="H201" s="138">
        <v>3</v>
      </c>
      <c r="I201" s="138">
        <v>3</v>
      </c>
      <c r="J201" s="138">
        <v>0</v>
      </c>
      <c r="K201" s="138">
        <v>0</v>
      </c>
      <c r="L201" s="138">
        <v>0</v>
      </c>
      <c r="M201" s="15" t="s">
        <v>1789</v>
      </c>
      <c r="N201" s="15"/>
      <c r="O201" s="259"/>
      <c r="P201" s="14" t="s">
        <v>1164</v>
      </c>
    </row>
    <row r="202" spans="1:16" ht="165">
      <c r="A202" s="13" t="s">
        <v>1790</v>
      </c>
      <c r="B202" s="15" t="s">
        <v>1791</v>
      </c>
      <c r="C202" s="15" t="s">
        <v>1785</v>
      </c>
      <c r="D202" s="15" t="s">
        <v>49</v>
      </c>
      <c r="E202" s="13" t="s">
        <v>1161</v>
      </c>
      <c r="F202" s="13" t="s">
        <v>1161</v>
      </c>
      <c r="G202" s="13" t="s">
        <v>1161</v>
      </c>
      <c r="H202" s="138">
        <v>3</v>
      </c>
      <c r="I202" s="138">
        <v>3</v>
      </c>
      <c r="J202" s="138">
        <v>0</v>
      </c>
      <c r="K202" s="138">
        <v>0</v>
      </c>
      <c r="L202" s="138">
        <v>0</v>
      </c>
      <c r="M202" s="42" t="s">
        <v>1792</v>
      </c>
      <c r="N202" s="15"/>
      <c r="O202" s="100"/>
      <c r="P202" s="14" t="s">
        <v>1164</v>
      </c>
    </row>
    <row r="203" spans="1:16" ht="183">
      <c r="A203" s="13" t="s">
        <v>1793</v>
      </c>
      <c r="B203" s="15" t="s">
        <v>1794</v>
      </c>
      <c r="C203" s="15" t="s">
        <v>1785</v>
      </c>
      <c r="D203" s="15" t="s">
        <v>49</v>
      </c>
      <c r="E203" s="13" t="s">
        <v>1161</v>
      </c>
      <c r="F203" s="13" t="s">
        <v>1161</v>
      </c>
      <c r="G203" s="13" t="s">
        <v>1161</v>
      </c>
      <c r="H203" s="138">
        <v>3</v>
      </c>
      <c r="I203" s="138">
        <v>3</v>
      </c>
      <c r="J203" s="138">
        <v>0</v>
      </c>
      <c r="K203" s="138">
        <v>0</v>
      </c>
      <c r="L203" s="138">
        <v>0</v>
      </c>
      <c r="M203" s="42" t="s">
        <v>1795</v>
      </c>
      <c r="N203" s="15"/>
      <c r="O203" s="100"/>
      <c r="P203" s="14" t="s">
        <v>1164</v>
      </c>
    </row>
    <row r="204" spans="1:16" ht="152.25">
      <c r="A204" s="13" t="s">
        <v>1796</v>
      </c>
      <c r="B204" s="15" t="s">
        <v>1797</v>
      </c>
      <c r="C204" s="15" t="s">
        <v>1785</v>
      </c>
      <c r="D204" s="15" t="s">
        <v>49</v>
      </c>
      <c r="E204" s="224"/>
      <c r="F204" s="224"/>
      <c r="G204" s="224"/>
      <c r="H204" s="138">
        <v>3</v>
      </c>
      <c r="I204" s="138">
        <v>3</v>
      </c>
      <c r="J204" s="138">
        <v>0</v>
      </c>
      <c r="K204" s="138">
        <v>0</v>
      </c>
      <c r="L204" s="138">
        <v>0</v>
      </c>
      <c r="M204" s="42" t="s">
        <v>1798</v>
      </c>
      <c r="N204" s="15"/>
      <c r="O204" s="100"/>
      <c r="P204" s="14" t="s">
        <v>1164</v>
      </c>
    </row>
    <row r="205" spans="1:16" ht="135">
      <c r="A205" s="13" t="s">
        <v>1799</v>
      </c>
      <c r="B205" s="15" t="s">
        <v>1800</v>
      </c>
      <c r="C205" s="15" t="s">
        <v>1785</v>
      </c>
      <c r="D205" s="15" t="s">
        <v>49</v>
      </c>
      <c r="E205" s="13" t="s">
        <v>1161</v>
      </c>
      <c r="F205" s="13" t="s">
        <v>1162</v>
      </c>
      <c r="G205" s="13" t="s">
        <v>1162</v>
      </c>
      <c r="H205" s="138">
        <v>3</v>
      </c>
      <c r="I205" s="138">
        <v>3</v>
      </c>
      <c r="J205" s="138">
        <v>0</v>
      </c>
      <c r="K205" s="138">
        <v>0</v>
      </c>
      <c r="L205" s="138">
        <v>0</v>
      </c>
      <c r="M205" s="42" t="s">
        <v>1801</v>
      </c>
      <c r="N205" s="15"/>
      <c r="O205" s="259"/>
      <c r="P205" s="14" t="s">
        <v>1164</v>
      </c>
    </row>
    <row r="206" spans="1:16" ht="165">
      <c r="A206" s="13" t="s">
        <v>1802</v>
      </c>
      <c r="B206" s="15" t="s">
        <v>1803</v>
      </c>
      <c r="C206" s="15" t="s">
        <v>1785</v>
      </c>
      <c r="D206" s="15" t="s">
        <v>49</v>
      </c>
      <c r="E206" s="13" t="s">
        <v>1161</v>
      </c>
      <c r="F206" s="13" t="s">
        <v>1162</v>
      </c>
      <c r="G206" s="13" t="s">
        <v>1161</v>
      </c>
      <c r="H206" s="138">
        <v>3</v>
      </c>
      <c r="I206" s="138">
        <v>3</v>
      </c>
      <c r="J206" s="138">
        <v>0</v>
      </c>
      <c r="K206" s="138">
        <v>0</v>
      </c>
      <c r="L206" s="138">
        <v>0</v>
      </c>
      <c r="M206" s="42" t="s">
        <v>1804</v>
      </c>
      <c r="N206" s="15"/>
      <c r="O206" s="259"/>
      <c r="P206" s="14" t="s">
        <v>1164</v>
      </c>
    </row>
    <row r="207" spans="1:16" ht="165">
      <c r="A207" s="13" t="s">
        <v>1805</v>
      </c>
      <c r="B207" s="15" t="s">
        <v>1806</v>
      </c>
      <c r="C207" s="15" t="s">
        <v>1785</v>
      </c>
      <c r="D207" s="15" t="s">
        <v>49</v>
      </c>
      <c r="E207" s="13" t="s">
        <v>1161</v>
      </c>
      <c r="F207" s="13" t="s">
        <v>1161</v>
      </c>
      <c r="G207" s="13" t="s">
        <v>1162</v>
      </c>
      <c r="H207" s="138">
        <v>3</v>
      </c>
      <c r="I207" s="138">
        <v>3</v>
      </c>
      <c r="J207" s="138">
        <v>0</v>
      </c>
      <c r="K207" s="138">
        <v>0</v>
      </c>
      <c r="L207" s="138">
        <v>0</v>
      </c>
      <c r="M207" s="42" t="s">
        <v>1807</v>
      </c>
      <c r="N207" s="15"/>
      <c r="O207" s="259"/>
      <c r="P207" s="14" t="s">
        <v>1164</v>
      </c>
    </row>
    <row r="208" spans="1:16" ht="135">
      <c r="A208" s="13" t="s">
        <v>1808</v>
      </c>
      <c r="B208" s="15" t="s">
        <v>1809</v>
      </c>
      <c r="C208" s="15" t="s">
        <v>1785</v>
      </c>
      <c r="D208" s="15" t="s">
        <v>49</v>
      </c>
      <c r="E208" s="13" t="s">
        <v>1162</v>
      </c>
      <c r="F208" s="13" t="s">
        <v>1161</v>
      </c>
      <c r="G208" s="13" t="s">
        <v>1162</v>
      </c>
      <c r="H208" s="138">
        <v>3</v>
      </c>
      <c r="I208" s="138">
        <v>3</v>
      </c>
      <c r="J208" s="138">
        <v>0</v>
      </c>
      <c r="K208" s="138">
        <v>0</v>
      </c>
      <c r="L208" s="138">
        <v>0</v>
      </c>
      <c r="M208" s="42" t="s">
        <v>1810</v>
      </c>
      <c r="N208" s="15"/>
      <c r="O208" s="100"/>
      <c r="P208" s="14" t="s">
        <v>1164</v>
      </c>
    </row>
    <row r="209" spans="1:16" ht="165">
      <c r="A209" s="13" t="s">
        <v>1811</v>
      </c>
      <c r="B209" s="15" t="s">
        <v>1812</v>
      </c>
      <c r="C209" s="15" t="s">
        <v>1785</v>
      </c>
      <c r="D209" s="15" t="s">
        <v>49</v>
      </c>
      <c r="E209" s="224"/>
      <c r="F209" s="224"/>
      <c r="G209" s="224"/>
      <c r="H209" s="138">
        <v>3</v>
      </c>
      <c r="I209" s="138">
        <v>3</v>
      </c>
      <c r="J209" s="138">
        <v>0</v>
      </c>
      <c r="K209" s="138">
        <v>0</v>
      </c>
      <c r="L209" s="138">
        <v>0</v>
      </c>
      <c r="M209" s="42" t="s">
        <v>1813</v>
      </c>
      <c r="N209" s="15"/>
      <c r="O209" s="259"/>
      <c r="P209" s="14" t="s">
        <v>1164</v>
      </c>
    </row>
    <row r="210" spans="1:16" ht="165">
      <c r="A210" s="13" t="s">
        <v>1814</v>
      </c>
      <c r="B210" s="15" t="s">
        <v>1815</v>
      </c>
      <c r="C210" s="15" t="s">
        <v>1785</v>
      </c>
      <c r="D210" s="15" t="s">
        <v>49</v>
      </c>
      <c r="E210" s="13" t="s">
        <v>1161</v>
      </c>
      <c r="F210" s="13" t="s">
        <v>1161</v>
      </c>
      <c r="G210" s="13" t="s">
        <v>1162</v>
      </c>
      <c r="H210" s="138">
        <v>3</v>
      </c>
      <c r="I210" s="138">
        <v>3</v>
      </c>
      <c r="J210" s="138">
        <v>0</v>
      </c>
      <c r="K210" s="138">
        <v>0</v>
      </c>
      <c r="L210" s="138">
        <v>0</v>
      </c>
      <c r="M210" s="42" t="s">
        <v>1816</v>
      </c>
      <c r="N210" s="15"/>
      <c r="O210" s="100"/>
      <c r="P210" s="14" t="s">
        <v>1164</v>
      </c>
    </row>
    <row r="211" spans="1:16" ht="150">
      <c r="A211" s="13" t="s">
        <v>1817</v>
      </c>
      <c r="B211" s="15" t="s">
        <v>1818</v>
      </c>
      <c r="C211" s="15" t="s">
        <v>1785</v>
      </c>
      <c r="D211" s="15" t="s">
        <v>49</v>
      </c>
      <c r="E211" s="13" t="s">
        <v>1162</v>
      </c>
      <c r="F211" s="13" t="s">
        <v>1161</v>
      </c>
      <c r="G211" s="13" t="s">
        <v>1162</v>
      </c>
      <c r="H211" s="138">
        <v>3</v>
      </c>
      <c r="I211" s="138">
        <v>3</v>
      </c>
      <c r="J211" s="138">
        <v>0</v>
      </c>
      <c r="K211" s="138">
        <v>0</v>
      </c>
      <c r="L211" s="138">
        <v>0</v>
      </c>
      <c r="M211" s="42" t="s">
        <v>1819</v>
      </c>
      <c r="N211" s="15"/>
      <c r="O211" s="100"/>
      <c r="P211" s="14" t="s">
        <v>1164</v>
      </c>
    </row>
    <row r="212" spans="1:16" ht="90">
      <c r="A212" s="13" t="s">
        <v>1820</v>
      </c>
      <c r="B212" s="15" t="s">
        <v>1821</v>
      </c>
      <c r="C212" s="15" t="s">
        <v>1822</v>
      </c>
      <c r="D212" s="15" t="s">
        <v>49</v>
      </c>
      <c r="E212" s="13" t="s">
        <v>1161</v>
      </c>
      <c r="F212" s="13" t="s">
        <v>1162</v>
      </c>
      <c r="G212" s="13" t="s">
        <v>1162</v>
      </c>
      <c r="H212" s="138">
        <v>4</v>
      </c>
      <c r="I212" s="138">
        <v>3</v>
      </c>
      <c r="J212" s="138">
        <v>3</v>
      </c>
      <c r="K212" s="138">
        <v>0</v>
      </c>
      <c r="L212" s="138">
        <v>0</v>
      </c>
      <c r="M212" s="15" t="s">
        <v>1823</v>
      </c>
      <c r="N212" s="15"/>
      <c r="O212" s="100"/>
      <c r="P212" s="14" t="s">
        <v>1164</v>
      </c>
    </row>
    <row r="213" spans="1:16" ht="90">
      <c r="A213" s="13" t="s">
        <v>1824</v>
      </c>
      <c r="B213" s="15" t="s">
        <v>1825</v>
      </c>
      <c r="C213" s="15" t="s">
        <v>1822</v>
      </c>
      <c r="D213" s="15" t="s">
        <v>49</v>
      </c>
      <c r="E213" s="13" t="s">
        <v>1162</v>
      </c>
      <c r="F213" s="13" t="s">
        <v>1161</v>
      </c>
      <c r="G213" s="13" t="s">
        <v>1162</v>
      </c>
      <c r="H213" s="138">
        <v>4</v>
      </c>
      <c r="I213" s="138">
        <v>3</v>
      </c>
      <c r="J213" s="138">
        <v>2</v>
      </c>
      <c r="K213" s="138">
        <v>0</v>
      </c>
      <c r="L213" s="138">
        <v>0</v>
      </c>
      <c r="M213" s="15" t="s">
        <v>1826</v>
      </c>
      <c r="N213" s="15"/>
      <c r="O213" s="259"/>
      <c r="P213" s="14" t="s">
        <v>1164</v>
      </c>
    </row>
    <row r="214" spans="1:16" ht="105">
      <c r="A214" s="13" t="s">
        <v>1827</v>
      </c>
      <c r="B214" s="15" t="s">
        <v>1828</v>
      </c>
      <c r="C214" s="15" t="s">
        <v>1822</v>
      </c>
      <c r="D214" s="15" t="s">
        <v>49</v>
      </c>
      <c r="E214" s="13" t="s">
        <v>1162</v>
      </c>
      <c r="F214" s="13" t="s">
        <v>1161</v>
      </c>
      <c r="G214" s="13" t="s">
        <v>1162</v>
      </c>
      <c r="H214" s="138">
        <v>3</v>
      </c>
      <c r="I214" s="138">
        <v>2</v>
      </c>
      <c r="J214" s="138">
        <v>3</v>
      </c>
      <c r="K214" s="138">
        <v>0</v>
      </c>
      <c r="L214" s="138">
        <v>0</v>
      </c>
      <c r="M214" s="15" t="s">
        <v>1829</v>
      </c>
      <c r="N214" s="15"/>
      <c r="O214" s="259"/>
      <c r="P214" s="14" t="s">
        <v>1164</v>
      </c>
    </row>
    <row r="215" spans="1:16" ht="60">
      <c r="A215" s="13" t="s">
        <v>1830</v>
      </c>
      <c r="B215" s="15" t="s">
        <v>1831</v>
      </c>
      <c r="C215" s="15" t="s">
        <v>1822</v>
      </c>
      <c r="D215" s="15" t="s">
        <v>49</v>
      </c>
      <c r="E215" s="13" t="s">
        <v>1161</v>
      </c>
      <c r="F215" s="13" t="s">
        <v>1162</v>
      </c>
      <c r="G215" s="13" t="s">
        <v>1161</v>
      </c>
      <c r="H215" s="138">
        <v>3</v>
      </c>
      <c r="I215" s="138">
        <v>2</v>
      </c>
      <c r="J215" s="138">
        <v>3</v>
      </c>
      <c r="K215" s="138">
        <v>0</v>
      </c>
      <c r="L215" s="138">
        <v>0</v>
      </c>
      <c r="M215" s="15" t="s">
        <v>1832</v>
      </c>
      <c r="N215" s="15"/>
      <c r="O215" s="259"/>
      <c r="P215" s="14" t="s">
        <v>1164</v>
      </c>
    </row>
    <row r="216" spans="1:16" ht="105">
      <c r="A216" s="13" t="s">
        <v>1833</v>
      </c>
      <c r="B216" s="15" t="s">
        <v>1834</v>
      </c>
      <c r="C216" s="15" t="s">
        <v>1822</v>
      </c>
      <c r="D216" s="15" t="s">
        <v>49</v>
      </c>
      <c r="E216" s="13" t="s">
        <v>1161</v>
      </c>
      <c r="F216" s="13" t="s">
        <v>1162</v>
      </c>
      <c r="G216" s="13" t="s">
        <v>1162</v>
      </c>
      <c r="H216" s="138">
        <v>3</v>
      </c>
      <c r="I216" s="138">
        <v>2</v>
      </c>
      <c r="J216" s="138">
        <v>3</v>
      </c>
      <c r="K216" s="138">
        <v>0</v>
      </c>
      <c r="L216" s="138">
        <v>0</v>
      </c>
      <c r="M216" s="15" t="s">
        <v>1835</v>
      </c>
      <c r="N216" s="15"/>
      <c r="O216" s="259"/>
      <c r="P216" s="14" t="s">
        <v>1164</v>
      </c>
    </row>
    <row r="217" spans="1:16" ht="120">
      <c r="A217" s="13" t="s">
        <v>1836</v>
      </c>
      <c r="B217" s="15" t="s">
        <v>1837</v>
      </c>
      <c r="C217" s="15" t="s">
        <v>1822</v>
      </c>
      <c r="D217" s="15" t="s">
        <v>49</v>
      </c>
      <c r="E217" s="13" t="s">
        <v>1161</v>
      </c>
      <c r="F217" s="13" t="s">
        <v>1162</v>
      </c>
      <c r="G217" s="13" t="s">
        <v>1162</v>
      </c>
      <c r="H217" s="138">
        <v>2</v>
      </c>
      <c r="I217" s="138">
        <v>2</v>
      </c>
      <c r="J217" s="138">
        <v>0</v>
      </c>
      <c r="K217" s="138">
        <v>0</v>
      </c>
      <c r="L217" s="138">
        <v>0</v>
      </c>
      <c r="M217" s="15" t="s">
        <v>1838</v>
      </c>
      <c r="N217" s="15"/>
      <c r="O217" s="259"/>
      <c r="P217" s="14" t="s">
        <v>1164</v>
      </c>
    </row>
    <row r="218" spans="1:16" ht="75">
      <c r="A218" s="13" t="s">
        <v>1839</v>
      </c>
      <c r="B218" s="15" t="s">
        <v>1840</v>
      </c>
      <c r="C218" s="15" t="s">
        <v>1822</v>
      </c>
      <c r="D218" s="15" t="s">
        <v>49</v>
      </c>
      <c r="E218" s="13" t="s">
        <v>1161</v>
      </c>
      <c r="F218" s="13" t="s">
        <v>1162</v>
      </c>
      <c r="G218" s="13" t="s">
        <v>1162</v>
      </c>
      <c r="H218" s="138">
        <v>3</v>
      </c>
      <c r="I218" s="138">
        <v>2</v>
      </c>
      <c r="J218" s="138">
        <v>3</v>
      </c>
      <c r="K218" s="138">
        <v>0</v>
      </c>
      <c r="L218" s="138">
        <v>0</v>
      </c>
      <c r="M218" s="15" t="s">
        <v>1841</v>
      </c>
      <c r="N218" s="15"/>
      <c r="O218" s="259"/>
      <c r="P218" s="14" t="s">
        <v>1164</v>
      </c>
    </row>
    <row r="219" spans="1:16" ht="105">
      <c r="A219" s="13" t="s">
        <v>1842</v>
      </c>
      <c r="B219" s="15" t="s">
        <v>1843</v>
      </c>
      <c r="C219" s="15" t="s">
        <v>1822</v>
      </c>
      <c r="D219" s="15" t="s">
        <v>49</v>
      </c>
      <c r="E219" s="13" t="s">
        <v>1162</v>
      </c>
      <c r="F219" s="13" t="s">
        <v>1161</v>
      </c>
      <c r="G219" s="13" t="s">
        <v>1162</v>
      </c>
      <c r="H219" s="138">
        <v>3</v>
      </c>
      <c r="I219" s="138">
        <v>2</v>
      </c>
      <c r="J219" s="138">
        <v>3</v>
      </c>
      <c r="K219" s="138">
        <v>0</v>
      </c>
      <c r="L219" s="138">
        <v>0</v>
      </c>
      <c r="M219" s="15" t="s">
        <v>1844</v>
      </c>
      <c r="N219" s="15"/>
      <c r="O219" s="259"/>
      <c r="P219" s="14" t="s">
        <v>1164</v>
      </c>
    </row>
    <row r="220" spans="1:16" ht="90">
      <c r="A220" s="13" t="s">
        <v>1845</v>
      </c>
      <c r="B220" s="15" t="s">
        <v>1846</v>
      </c>
      <c r="C220" s="15" t="s">
        <v>1822</v>
      </c>
      <c r="D220" s="15" t="s">
        <v>49</v>
      </c>
      <c r="E220" s="13" t="s">
        <v>1161</v>
      </c>
      <c r="F220" s="13" t="s">
        <v>1162</v>
      </c>
      <c r="G220" s="13" t="s">
        <v>1161</v>
      </c>
      <c r="H220" s="138">
        <v>3</v>
      </c>
      <c r="I220" s="138">
        <v>2</v>
      </c>
      <c r="J220" s="138">
        <v>3</v>
      </c>
      <c r="K220" s="138">
        <v>0</v>
      </c>
      <c r="L220" s="138">
        <v>0</v>
      </c>
      <c r="M220" s="15" t="s">
        <v>1847</v>
      </c>
      <c r="N220" s="15"/>
      <c r="O220" s="259"/>
      <c r="P220" s="14" t="s">
        <v>1164</v>
      </c>
    </row>
    <row r="221" spans="1:16" ht="90">
      <c r="A221" s="13" t="s">
        <v>1848</v>
      </c>
      <c r="B221" s="15" t="s">
        <v>1849</v>
      </c>
      <c r="C221" s="15" t="s">
        <v>1822</v>
      </c>
      <c r="D221" s="15" t="s">
        <v>49</v>
      </c>
      <c r="E221" s="13" t="s">
        <v>1162</v>
      </c>
      <c r="F221" s="13" t="s">
        <v>1161</v>
      </c>
      <c r="G221" s="13" t="s">
        <v>1162</v>
      </c>
      <c r="H221" s="138">
        <v>2</v>
      </c>
      <c r="I221" s="138">
        <v>1</v>
      </c>
      <c r="J221" s="138">
        <v>3</v>
      </c>
      <c r="K221" s="138">
        <v>0</v>
      </c>
      <c r="L221" s="138">
        <v>0</v>
      </c>
      <c r="M221" s="15" t="s">
        <v>1850</v>
      </c>
      <c r="N221" s="15"/>
      <c r="O221" s="259"/>
      <c r="P221" s="14" t="s">
        <v>1164</v>
      </c>
    </row>
    <row r="222" spans="1:16" ht="90">
      <c r="A222" s="13" t="s">
        <v>1851</v>
      </c>
      <c r="B222" s="15" t="s">
        <v>1852</v>
      </c>
      <c r="C222" s="15" t="s">
        <v>1822</v>
      </c>
      <c r="D222" s="15" t="s">
        <v>49</v>
      </c>
      <c r="E222" s="13" t="s">
        <v>1162</v>
      </c>
      <c r="F222" s="13" t="s">
        <v>1161</v>
      </c>
      <c r="G222" s="13" t="s">
        <v>1162</v>
      </c>
      <c r="H222" s="138">
        <v>2</v>
      </c>
      <c r="I222" s="138">
        <v>0</v>
      </c>
      <c r="J222" s="138">
        <v>4</v>
      </c>
      <c r="K222" s="138">
        <v>0</v>
      </c>
      <c r="L222" s="138">
        <v>0</v>
      </c>
      <c r="M222" s="15" t="s">
        <v>1853</v>
      </c>
      <c r="N222" s="15"/>
      <c r="O222" s="259"/>
      <c r="P222" s="14" t="s">
        <v>1164</v>
      </c>
    </row>
    <row r="223" spans="1:16" ht="290.25">
      <c r="A223" s="13" t="s">
        <v>1854</v>
      </c>
      <c r="B223" s="15" t="s">
        <v>1855</v>
      </c>
      <c r="C223" s="15" t="s">
        <v>1856</v>
      </c>
      <c r="D223" s="15" t="s">
        <v>49</v>
      </c>
      <c r="E223" s="224"/>
      <c r="F223" s="224"/>
      <c r="G223" s="224"/>
      <c r="H223" s="138">
        <v>4</v>
      </c>
      <c r="I223" s="138">
        <v>3</v>
      </c>
      <c r="J223" s="138">
        <v>2</v>
      </c>
      <c r="K223" s="138">
        <v>0</v>
      </c>
      <c r="L223" s="138">
        <v>0</v>
      </c>
      <c r="M223" s="15" t="s">
        <v>1857</v>
      </c>
      <c r="N223" s="15"/>
      <c r="O223" s="259"/>
      <c r="P223" s="14" t="s">
        <v>1164</v>
      </c>
    </row>
    <row r="224" spans="1:16" ht="105">
      <c r="A224" s="13" t="s">
        <v>1858</v>
      </c>
      <c r="B224" s="15" t="s">
        <v>1859</v>
      </c>
      <c r="C224" s="15" t="s">
        <v>1860</v>
      </c>
      <c r="D224" s="15" t="s">
        <v>49</v>
      </c>
      <c r="E224" s="13" t="s">
        <v>1161</v>
      </c>
      <c r="F224" s="13" t="s">
        <v>1162</v>
      </c>
      <c r="G224" s="13" t="s">
        <v>1162</v>
      </c>
      <c r="H224" s="138">
        <v>1</v>
      </c>
      <c r="I224" s="138">
        <v>1</v>
      </c>
      <c r="J224" s="138">
        <v>0</v>
      </c>
      <c r="K224" s="138">
        <v>0</v>
      </c>
      <c r="L224" s="138">
        <v>0</v>
      </c>
      <c r="M224" s="25" t="s">
        <v>1861</v>
      </c>
      <c r="N224" s="15"/>
      <c r="O224" s="100"/>
      <c r="P224" s="14" t="s">
        <v>1164</v>
      </c>
    </row>
    <row r="225" spans="1:16" ht="152.25">
      <c r="A225" s="13" t="s">
        <v>1862</v>
      </c>
      <c r="B225" s="15" t="s">
        <v>1863</v>
      </c>
      <c r="C225" s="15" t="s">
        <v>1860</v>
      </c>
      <c r="D225" s="15" t="s">
        <v>49</v>
      </c>
      <c r="E225" s="13" t="s">
        <v>1162</v>
      </c>
      <c r="F225" s="13" t="s">
        <v>1161</v>
      </c>
      <c r="G225" s="13" t="s">
        <v>1162</v>
      </c>
      <c r="H225" s="138">
        <v>3</v>
      </c>
      <c r="I225" s="138">
        <v>2</v>
      </c>
      <c r="J225" s="138">
        <v>2</v>
      </c>
      <c r="K225" s="138">
        <v>0</v>
      </c>
      <c r="L225" s="138">
        <v>0</v>
      </c>
      <c r="M225" s="42" t="s">
        <v>1864</v>
      </c>
      <c r="N225" s="15"/>
      <c r="O225" s="100"/>
      <c r="P225" s="14" t="s">
        <v>1164</v>
      </c>
    </row>
    <row r="226" spans="1:16" ht="60">
      <c r="A226" s="13" t="s">
        <v>1865</v>
      </c>
      <c r="B226" s="15" t="s">
        <v>1866</v>
      </c>
      <c r="C226" s="15" t="s">
        <v>1867</v>
      </c>
      <c r="D226" s="15" t="s">
        <v>49</v>
      </c>
      <c r="E226" s="13" t="s">
        <v>1162</v>
      </c>
      <c r="F226" s="13" t="s">
        <v>1162</v>
      </c>
      <c r="G226" s="13" t="s">
        <v>1161</v>
      </c>
      <c r="H226" s="138">
        <v>3</v>
      </c>
      <c r="I226" s="138">
        <v>3</v>
      </c>
      <c r="J226" s="138">
        <v>0</v>
      </c>
      <c r="K226" s="138">
        <v>0</v>
      </c>
      <c r="L226" s="138">
        <v>0</v>
      </c>
      <c r="M226" s="15" t="s">
        <v>1868</v>
      </c>
      <c r="N226" s="15"/>
      <c r="O226" s="100"/>
      <c r="P226" s="14" t="s">
        <v>1164</v>
      </c>
    </row>
    <row r="227" spans="1:16" ht="75">
      <c r="A227" s="13" t="s">
        <v>1869</v>
      </c>
      <c r="B227" s="15" t="s">
        <v>1870</v>
      </c>
      <c r="C227" s="15" t="s">
        <v>1871</v>
      </c>
      <c r="D227" s="15" t="s">
        <v>49</v>
      </c>
      <c r="E227" s="13" t="s">
        <v>1161</v>
      </c>
      <c r="F227" s="13" t="s">
        <v>1162</v>
      </c>
      <c r="G227" s="13" t="s">
        <v>1162</v>
      </c>
      <c r="H227" s="138">
        <v>3</v>
      </c>
      <c r="I227" s="138">
        <v>3</v>
      </c>
      <c r="J227" s="138">
        <v>0</v>
      </c>
      <c r="K227" s="138">
        <v>0</v>
      </c>
      <c r="L227" s="138">
        <v>0</v>
      </c>
      <c r="M227" s="15" t="s">
        <v>1872</v>
      </c>
      <c r="N227" s="15"/>
      <c r="O227" s="100"/>
      <c r="P227" s="14" t="s">
        <v>1164</v>
      </c>
    </row>
    <row r="228" spans="1:16" ht="120">
      <c r="A228" s="13" t="s">
        <v>1873</v>
      </c>
      <c r="B228" s="15" t="s">
        <v>1874</v>
      </c>
      <c r="C228" s="15" t="s">
        <v>1875</v>
      </c>
      <c r="D228" s="15" t="s">
        <v>49</v>
      </c>
      <c r="E228" s="224"/>
      <c r="F228" s="224"/>
      <c r="G228" s="224"/>
      <c r="H228" s="138">
        <v>3</v>
      </c>
      <c r="I228" s="138">
        <v>3</v>
      </c>
      <c r="J228" s="138">
        <v>0</v>
      </c>
      <c r="K228" s="138">
        <v>0</v>
      </c>
      <c r="L228" s="138">
        <v>0</v>
      </c>
      <c r="M228" s="42" t="s">
        <v>1876</v>
      </c>
      <c r="N228" s="15"/>
      <c r="O228" s="100"/>
      <c r="P228" s="14" t="s">
        <v>1164</v>
      </c>
    </row>
    <row r="229" spans="1:16" ht="165">
      <c r="A229" s="13" t="s">
        <v>1877</v>
      </c>
      <c r="B229" s="15" t="s">
        <v>1878</v>
      </c>
      <c r="C229" s="15" t="s">
        <v>1879</v>
      </c>
      <c r="D229" s="15" t="s">
        <v>49</v>
      </c>
      <c r="E229" s="13" t="s">
        <v>1161</v>
      </c>
      <c r="F229" s="13" t="s">
        <v>1162</v>
      </c>
      <c r="G229" s="13" t="s">
        <v>1162</v>
      </c>
      <c r="H229" s="138">
        <v>3</v>
      </c>
      <c r="I229" s="138">
        <v>3</v>
      </c>
      <c r="J229" s="138">
        <v>0</v>
      </c>
      <c r="K229" s="138">
        <v>0</v>
      </c>
      <c r="L229" s="138">
        <v>0</v>
      </c>
      <c r="M229" s="42" t="s">
        <v>1880</v>
      </c>
      <c r="N229" s="15"/>
      <c r="O229" s="100"/>
      <c r="P229" s="14" t="s">
        <v>1164</v>
      </c>
    </row>
    <row r="230" spans="1:16" ht="165">
      <c r="A230" s="13" t="s">
        <v>1881</v>
      </c>
      <c r="B230" s="15" t="s">
        <v>1882</v>
      </c>
      <c r="C230" s="15" t="s">
        <v>1879</v>
      </c>
      <c r="D230" s="15" t="s">
        <v>49</v>
      </c>
      <c r="E230" s="13" t="s">
        <v>1162</v>
      </c>
      <c r="F230" s="13" t="s">
        <v>1161</v>
      </c>
      <c r="G230" s="13" t="s">
        <v>1162</v>
      </c>
      <c r="H230" s="138">
        <v>3</v>
      </c>
      <c r="I230" s="138">
        <v>3</v>
      </c>
      <c r="J230" s="138">
        <v>0</v>
      </c>
      <c r="K230" s="138">
        <v>0</v>
      </c>
      <c r="L230" s="138">
        <v>0</v>
      </c>
      <c r="M230" s="42" t="s">
        <v>1883</v>
      </c>
      <c r="N230" s="15"/>
      <c r="O230" s="100"/>
      <c r="P230" s="14" t="s">
        <v>1164</v>
      </c>
    </row>
    <row r="231" spans="1:16" ht="150">
      <c r="A231" s="13" t="s">
        <v>1884</v>
      </c>
      <c r="B231" s="15" t="s">
        <v>1885</v>
      </c>
      <c r="C231" s="15" t="s">
        <v>1879</v>
      </c>
      <c r="D231" s="15" t="s">
        <v>49</v>
      </c>
      <c r="E231" s="224"/>
      <c r="F231" s="224"/>
      <c r="G231" s="224"/>
      <c r="H231" s="138">
        <v>3</v>
      </c>
      <c r="I231" s="138">
        <v>3</v>
      </c>
      <c r="J231" s="138">
        <v>0</v>
      </c>
      <c r="K231" s="138">
        <v>0</v>
      </c>
      <c r="L231" s="138">
        <v>0</v>
      </c>
      <c r="M231" s="42" t="s">
        <v>1886</v>
      </c>
      <c r="N231" s="15"/>
      <c r="O231" s="100"/>
      <c r="P231" s="14" t="s">
        <v>1164</v>
      </c>
    </row>
    <row r="232" spans="1:16" ht="165">
      <c r="A232" s="13" t="s">
        <v>1887</v>
      </c>
      <c r="B232" s="15" t="s">
        <v>1888</v>
      </c>
      <c r="C232" s="15" t="s">
        <v>1879</v>
      </c>
      <c r="D232" s="15" t="s">
        <v>49</v>
      </c>
      <c r="E232" s="13" t="s">
        <v>1161</v>
      </c>
      <c r="F232" s="13" t="s">
        <v>1161</v>
      </c>
      <c r="G232" s="13" t="s">
        <v>1161</v>
      </c>
      <c r="H232" s="138">
        <v>3</v>
      </c>
      <c r="I232" s="138">
        <v>3</v>
      </c>
      <c r="J232" s="138">
        <v>0</v>
      </c>
      <c r="K232" s="138">
        <v>0</v>
      </c>
      <c r="L232" s="138">
        <v>0</v>
      </c>
      <c r="M232" s="42" t="s">
        <v>1889</v>
      </c>
      <c r="N232" s="15"/>
      <c r="O232" s="100"/>
      <c r="P232" s="14" t="s">
        <v>1164</v>
      </c>
    </row>
    <row r="233" spans="1:16" ht="165">
      <c r="A233" s="13" t="s">
        <v>1890</v>
      </c>
      <c r="B233" s="15" t="s">
        <v>1891</v>
      </c>
      <c r="C233" s="15" t="s">
        <v>1879</v>
      </c>
      <c r="D233" s="15" t="s">
        <v>49</v>
      </c>
      <c r="E233" s="13" t="s">
        <v>1161</v>
      </c>
      <c r="F233" s="13" t="s">
        <v>1161</v>
      </c>
      <c r="G233" s="13" t="s">
        <v>1161</v>
      </c>
      <c r="H233" s="138">
        <v>3</v>
      </c>
      <c r="I233" s="138">
        <v>3</v>
      </c>
      <c r="J233" s="138">
        <v>0</v>
      </c>
      <c r="K233" s="138">
        <v>0</v>
      </c>
      <c r="L233" s="138">
        <v>0</v>
      </c>
      <c r="M233" s="42" t="s">
        <v>1892</v>
      </c>
      <c r="N233" s="15"/>
      <c r="O233" s="100"/>
      <c r="P233" s="14" t="s">
        <v>1164</v>
      </c>
    </row>
    <row r="234" spans="1:16" ht="75">
      <c r="A234" s="13" t="s">
        <v>1893</v>
      </c>
      <c r="B234" s="15" t="s">
        <v>1894</v>
      </c>
      <c r="C234" s="15" t="s">
        <v>1895</v>
      </c>
      <c r="D234" s="15" t="s">
        <v>49</v>
      </c>
      <c r="E234" s="13" t="s">
        <v>1161</v>
      </c>
      <c r="F234" s="13" t="s">
        <v>1162</v>
      </c>
      <c r="G234" s="13" t="s">
        <v>1162</v>
      </c>
      <c r="H234" s="138">
        <v>3</v>
      </c>
      <c r="I234" s="138">
        <v>3</v>
      </c>
      <c r="J234" s="138">
        <v>0</v>
      </c>
      <c r="K234" s="138">
        <v>0</v>
      </c>
      <c r="L234" s="138">
        <v>0</v>
      </c>
      <c r="M234" s="15" t="s">
        <v>1896</v>
      </c>
      <c r="N234" s="15"/>
      <c r="O234" s="100"/>
      <c r="P234" s="14" t="s">
        <v>1164</v>
      </c>
    </row>
    <row r="235" spans="1:16" ht="60">
      <c r="A235" s="13" t="s">
        <v>1897</v>
      </c>
      <c r="B235" s="15" t="s">
        <v>1898</v>
      </c>
      <c r="C235" s="15" t="s">
        <v>1895</v>
      </c>
      <c r="D235" s="15" t="s">
        <v>49</v>
      </c>
      <c r="E235" s="13" t="s">
        <v>1162</v>
      </c>
      <c r="F235" s="13" t="s">
        <v>1161</v>
      </c>
      <c r="G235" s="13" t="s">
        <v>1162</v>
      </c>
      <c r="H235" s="138">
        <v>3</v>
      </c>
      <c r="I235" s="138">
        <v>3</v>
      </c>
      <c r="J235" s="138">
        <v>0</v>
      </c>
      <c r="K235" s="138">
        <v>0</v>
      </c>
      <c r="L235" s="138">
        <v>0</v>
      </c>
      <c r="M235" s="15" t="s">
        <v>1899</v>
      </c>
      <c r="N235" s="15"/>
      <c r="O235" s="100"/>
      <c r="P235" s="14" t="s">
        <v>1164</v>
      </c>
    </row>
    <row r="236" spans="1:16" ht="90">
      <c r="A236" s="13" t="s">
        <v>1900</v>
      </c>
      <c r="B236" s="15" t="s">
        <v>1901</v>
      </c>
      <c r="C236" s="15" t="s">
        <v>1895</v>
      </c>
      <c r="D236" s="15" t="s">
        <v>49</v>
      </c>
      <c r="E236" s="13" t="s">
        <v>1161</v>
      </c>
      <c r="F236" s="13" t="s">
        <v>1162</v>
      </c>
      <c r="G236" s="13" t="s">
        <v>1162</v>
      </c>
      <c r="H236" s="138">
        <v>3</v>
      </c>
      <c r="I236" s="138">
        <v>3</v>
      </c>
      <c r="J236" s="138">
        <v>0</v>
      </c>
      <c r="K236" s="138">
        <v>0</v>
      </c>
      <c r="L236" s="138">
        <v>0</v>
      </c>
      <c r="M236" s="15" t="s">
        <v>1902</v>
      </c>
      <c r="N236" s="15"/>
      <c r="O236" s="100"/>
      <c r="P236" s="14" t="s">
        <v>1164</v>
      </c>
    </row>
    <row r="237" spans="1:16" ht="75">
      <c r="A237" s="13" t="s">
        <v>1903</v>
      </c>
      <c r="B237" s="15" t="s">
        <v>1904</v>
      </c>
      <c r="C237" s="15" t="s">
        <v>1895</v>
      </c>
      <c r="D237" s="15" t="s">
        <v>49</v>
      </c>
      <c r="E237" s="13" t="s">
        <v>1162</v>
      </c>
      <c r="F237" s="13" t="s">
        <v>1161</v>
      </c>
      <c r="G237" s="13" t="s">
        <v>1162</v>
      </c>
      <c r="H237" s="138">
        <v>3</v>
      </c>
      <c r="I237" s="138">
        <v>3</v>
      </c>
      <c r="J237" s="138">
        <v>0</v>
      </c>
      <c r="K237" s="138">
        <v>0</v>
      </c>
      <c r="L237" s="138">
        <v>0</v>
      </c>
      <c r="M237" s="15" t="s">
        <v>1905</v>
      </c>
      <c r="N237" s="15"/>
      <c r="O237" s="100"/>
      <c r="P237" s="14" t="s">
        <v>1164</v>
      </c>
    </row>
    <row r="238" spans="1:16" ht="90">
      <c r="A238" s="13" t="s">
        <v>1906</v>
      </c>
      <c r="B238" s="15" t="s">
        <v>1907</v>
      </c>
      <c r="C238" s="15" t="s">
        <v>1895</v>
      </c>
      <c r="D238" s="15" t="s">
        <v>49</v>
      </c>
      <c r="E238" s="13" t="s">
        <v>1161</v>
      </c>
      <c r="F238" s="13" t="s">
        <v>1162</v>
      </c>
      <c r="G238" s="13" t="s">
        <v>1162</v>
      </c>
      <c r="H238" s="138">
        <v>3</v>
      </c>
      <c r="I238" s="138">
        <v>3</v>
      </c>
      <c r="J238" s="138">
        <v>0</v>
      </c>
      <c r="K238" s="138">
        <v>0</v>
      </c>
      <c r="L238" s="138">
        <v>0</v>
      </c>
      <c r="M238" s="15" t="s">
        <v>1908</v>
      </c>
      <c r="N238" s="15"/>
      <c r="O238" s="100"/>
      <c r="P238" s="14" t="s">
        <v>1164</v>
      </c>
    </row>
    <row r="239" spans="1:16" ht="90">
      <c r="A239" s="13" t="s">
        <v>1909</v>
      </c>
      <c r="B239" s="15" t="s">
        <v>1910</v>
      </c>
      <c r="C239" s="15" t="s">
        <v>1895</v>
      </c>
      <c r="D239" s="15" t="s">
        <v>49</v>
      </c>
      <c r="E239" s="13" t="s">
        <v>1161</v>
      </c>
      <c r="F239" s="13" t="s">
        <v>1162</v>
      </c>
      <c r="G239" s="13" t="s">
        <v>1162</v>
      </c>
      <c r="H239" s="138">
        <v>4</v>
      </c>
      <c r="I239" s="138">
        <v>4</v>
      </c>
      <c r="J239" s="138">
        <v>0</v>
      </c>
      <c r="K239" s="138">
        <v>0</v>
      </c>
      <c r="L239" s="138">
        <v>0</v>
      </c>
      <c r="M239" s="15" t="s">
        <v>1911</v>
      </c>
      <c r="N239" s="15"/>
      <c r="O239" s="100"/>
      <c r="P239" s="14" t="s">
        <v>1164</v>
      </c>
    </row>
    <row r="240" spans="1:16" ht="90">
      <c r="A240" s="13" t="s">
        <v>1912</v>
      </c>
      <c r="B240" s="15" t="s">
        <v>1913</v>
      </c>
      <c r="C240" s="15" t="s">
        <v>1895</v>
      </c>
      <c r="D240" s="15" t="s">
        <v>49</v>
      </c>
      <c r="E240" s="13" t="s">
        <v>1162</v>
      </c>
      <c r="F240" s="13" t="s">
        <v>1161</v>
      </c>
      <c r="G240" s="13" t="s">
        <v>1162</v>
      </c>
      <c r="H240" s="138">
        <v>3</v>
      </c>
      <c r="I240" s="138">
        <v>2</v>
      </c>
      <c r="J240" s="138">
        <v>2</v>
      </c>
      <c r="K240" s="138">
        <v>0</v>
      </c>
      <c r="L240" s="138">
        <v>0</v>
      </c>
      <c r="M240" s="15" t="s">
        <v>1914</v>
      </c>
      <c r="N240" s="15"/>
      <c r="O240" s="100"/>
      <c r="P240" s="14" t="s">
        <v>1164</v>
      </c>
    </row>
    <row r="241" spans="1:16" ht="75">
      <c r="A241" s="13" t="s">
        <v>1915</v>
      </c>
      <c r="B241" s="15" t="s">
        <v>1916</v>
      </c>
      <c r="C241" s="15" t="s">
        <v>1917</v>
      </c>
      <c r="D241" s="15" t="s">
        <v>49</v>
      </c>
      <c r="E241" s="13" t="s">
        <v>1162</v>
      </c>
      <c r="F241" s="13" t="s">
        <v>1162</v>
      </c>
      <c r="G241" s="13" t="s">
        <v>1161</v>
      </c>
      <c r="H241" s="138">
        <v>1</v>
      </c>
      <c r="I241" s="138">
        <v>1</v>
      </c>
      <c r="J241" s="138">
        <v>0</v>
      </c>
      <c r="K241" s="138">
        <v>0</v>
      </c>
      <c r="L241" s="138">
        <v>0</v>
      </c>
      <c r="M241" s="15" t="s">
        <v>1918</v>
      </c>
      <c r="N241" s="15"/>
      <c r="O241" s="100"/>
      <c r="P241" s="14" t="s">
        <v>1164</v>
      </c>
    </row>
    <row r="242" spans="1:16" ht="90">
      <c r="A242" s="13" t="s">
        <v>1919</v>
      </c>
      <c r="B242" s="15" t="s">
        <v>1920</v>
      </c>
      <c r="C242" s="15" t="s">
        <v>1917</v>
      </c>
      <c r="D242" s="15" t="s">
        <v>49</v>
      </c>
      <c r="E242" s="13" t="s">
        <v>1162</v>
      </c>
      <c r="F242" s="13" t="s">
        <v>1162</v>
      </c>
      <c r="G242" s="13" t="s">
        <v>1161</v>
      </c>
      <c r="H242" s="138">
        <v>2</v>
      </c>
      <c r="I242" s="138">
        <v>2</v>
      </c>
      <c r="J242" s="138">
        <v>0</v>
      </c>
      <c r="K242" s="138">
        <v>0</v>
      </c>
      <c r="L242" s="138">
        <v>0</v>
      </c>
      <c r="M242" s="15" t="s">
        <v>1921</v>
      </c>
      <c r="N242" s="15"/>
      <c r="O242" s="100"/>
      <c r="P242" s="14" t="s">
        <v>1164</v>
      </c>
    </row>
    <row r="243" spans="1:16" ht="90">
      <c r="A243" s="13" t="s">
        <v>1922</v>
      </c>
      <c r="B243" s="15" t="s">
        <v>1923</v>
      </c>
      <c r="C243" s="15" t="s">
        <v>1924</v>
      </c>
      <c r="D243" s="15" t="s">
        <v>49</v>
      </c>
      <c r="E243" s="13" t="s">
        <v>1161</v>
      </c>
      <c r="F243" s="13" t="s">
        <v>1162</v>
      </c>
      <c r="G243" s="13" t="s">
        <v>1162</v>
      </c>
      <c r="H243" s="138">
        <v>3</v>
      </c>
      <c r="I243" s="138">
        <v>2</v>
      </c>
      <c r="J243" s="138">
        <v>2</v>
      </c>
      <c r="K243" s="138">
        <v>0</v>
      </c>
      <c r="L243" s="138">
        <v>0</v>
      </c>
      <c r="M243" s="15" t="s">
        <v>1925</v>
      </c>
      <c r="N243" s="15"/>
      <c r="O243" s="100"/>
      <c r="P243" s="14" t="s">
        <v>1164</v>
      </c>
    </row>
    <row r="244" spans="1:16" ht="75">
      <c r="A244" s="13" t="s">
        <v>1926</v>
      </c>
      <c r="B244" s="15" t="s">
        <v>1927</v>
      </c>
      <c r="C244" s="15" t="s">
        <v>1924</v>
      </c>
      <c r="D244" s="15" t="s">
        <v>49</v>
      </c>
      <c r="E244" s="13" t="s">
        <v>1162</v>
      </c>
      <c r="F244" s="13" t="s">
        <v>1161</v>
      </c>
      <c r="G244" s="13" t="s">
        <v>1162</v>
      </c>
      <c r="H244" s="138">
        <v>2</v>
      </c>
      <c r="I244" s="138">
        <v>1</v>
      </c>
      <c r="J244" s="138">
        <v>2</v>
      </c>
      <c r="K244" s="138">
        <v>0</v>
      </c>
      <c r="L244" s="138">
        <v>0</v>
      </c>
      <c r="M244" s="15" t="s">
        <v>1928</v>
      </c>
      <c r="N244" s="15"/>
      <c r="O244" s="100"/>
      <c r="P244" s="14" t="s">
        <v>1164</v>
      </c>
    </row>
    <row r="245" spans="1:16" ht="75">
      <c r="A245" s="13" t="s">
        <v>1929</v>
      </c>
      <c r="B245" s="15" t="s">
        <v>1930</v>
      </c>
      <c r="C245" s="15" t="s">
        <v>1924</v>
      </c>
      <c r="D245" s="15" t="s">
        <v>49</v>
      </c>
      <c r="E245" s="13" t="s">
        <v>1161</v>
      </c>
      <c r="F245" s="13" t="s">
        <v>1162</v>
      </c>
      <c r="G245" s="13" t="s">
        <v>1162</v>
      </c>
      <c r="H245" s="138">
        <v>3</v>
      </c>
      <c r="I245" s="138">
        <v>2</v>
      </c>
      <c r="J245" s="138">
        <v>2</v>
      </c>
      <c r="K245" s="138">
        <v>0</v>
      </c>
      <c r="L245" s="138">
        <v>0</v>
      </c>
      <c r="M245" s="15" t="s">
        <v>1931</v>
      </c>
      <c r="N245" s="15"/>
      <c r="O245" s="100"/>
      <c r="P245" s="14" t="s">
        <v>1164</v>
      </c>
    </row>
    <row r="246" spans="1:16" ht="75">
      <c r="A246" s="13" t="s">
        <v>1932</v>
      </c>
      <c r="B246" s="15" t="s">
        <v>1933</v>
      </c>
      <c r="C246" s="15" t="s">
        <v>1924</v>
      </c>
      <c r="D246" s="15" t="s">
        <v>49</v>
      </c>
      <c r="E246" s="13" t="s">
        <v>1162</v>
      </c>
      <c r="F246" s="13" t="s">
        <v>1161</v>
      </c>
      <c r="G246" s="13" t="s">
        <v>1162</v>
      </c>
      <c r="H246" s="138">
        <v>3</v>
      </c>
      <c r="I246" s="138">
        <v>2</v>
      </c>
      <c r="J246" s="138">
        <v>2</v>
      </c>
      <c r="K246" s="138">
        <v>0</v>
      </c>
      <c r="L246" s="138">
        <v>0</v>
      </c>
      <c r="M246" s="15" t="s">
        <v>1934</v>
      </c>
      <c r="N246" s="15"/>
      <c r="O246" s="100"/>
      <c r="P246" s="14" t="s">
        <v>1164</v>
      </c>
    </row>
    <row r="247" spans="1:16" ht="60">
      <c r="A247" s="13" t="s">
        <v>1935</v>
      </c>
      <c r="B247" s="15" t="s">
        <v>1936</v>
      </c>
      <c r="C247" s="15" t="s">
        <v>1924</v>
      </c>
      <c r="D247" s="15" t="s">
        <v>49</v>
      </c>
      <c r="E247" s="224"/>
      <c r="F247" s="224"/>
      <c r="G247" s="224"/>
      <c r="H247" s="138">
        <v>3</v>
      </c>
      <c r="I247" s="138">
        <v>2</v>
      </c>
      <c r="J247" s="138">
        <v>2</v>
      </c>
      <c r="K247" s="138">
        <v>0</v>
      </c>
      <c r="L247" s="138">
        <v>0</v>
      </c>
      <c r="M247" s="15" t="s">
        <v>1937</v>
      </c>
      <c r="N247" s="15"/>
      <c r="O247" s="100"/>
      <c r="P247" s="14" t="s">
        <v>1164</v>
      </c>
    </row>
    <row r="248" spans="1:16" ht="90">
      <c r="A248" s="13" t="s">
        <v>1938</v>
      </c>
      <c r="B248" s="15" t="s">
        <v>1939</v>
      </c>
      <c r="C248" s="15" t="s">
        <v>1924</v>
      </c>
      <c r="D248" s="15" t="s">
        <v>49</v>
      </c>
      <c r="E248" s="224"/>
      <c r="F248" s="224"/>
      <c r="G248" s="224"/>
      <c r="H248" s="138">
        <v>3</v>
      </c>
      <c r="I248" s="138">
        <v>3</v>
      </c>
      <c r="J248" s="138">
        <v>0</v>
      </c>
      <c r="K248" s="138">
        <v>0</v>
      </c>
      <c r="L248" s="138">
        <v>0</v>
      </c>
      <c r="M248" s="15" t="s">
        <v>1940</v>
      </c>
      <c r="N248" s="15"/>
      <c r="O248" s="100"/>
      <c r="P248" s="14" t="s">
        <v>1164</v>
      </c>
    </row>
    <row r="249" spans="1:16" ht="90">
      <c r="A249" s="13" t="s">
        <v>1941</v>
      </c>
      <c r="B249" s="15" t="s">
        <v>1942</v>
      </c>
      <c r="C249" s="15" t="s">
        <v>1924</v>
      </c>
      <c r="D249" s="15" t="s">
        <v>49</v>
      </c>
      <c r="E249" s="13" t="s">
        <v>1162</v>
      </c>
      <c r="F249" s="13" t="s">
        <v>1161</v>
      </c>
      <c r="G249" s="13" t="s">
        <v>1162</v>
      </c>
      <c r="H249" s="138">
        <v>3</v>
      </c>
      <c r="I249" s="138">
        <v>3</v>
      </c>
      <c r="J249" s="138">
        <v>0</v>
      </c>
      <c r="K249" s="138">
        <v>0</v>
      </c>
      <c r="L249" s="138">
        <v>0</v>
      </c>
      <c r="M249" s="15" t="s">
        <v>1943</v>
      </c>
      <c r="N249" s="15"/>
      <c r="O249" s="100"/>
      <c r="P249" s="14" t="s">
        <v>1164</v>
      </c>
    </row>
    <row r="250" spans="1:16" ht="75">
      <c r="A250" s="13" t="s">
        <v>1944</v>
      </c>
      <c r="B250" s="15" t="s">
        <v>1945</v>
      </c>
      <c r="C250" s="15" t="s">
        <v>1924</v>
      </c>
      <c r="D250" s="15" t="s">
        <v>49</v>
      </c>
      <c r="E250" s="13" t="s">
        <v>1162</v>
      </c>
      <c r="F250" s="13" t="s">
        <v>1161</v>
      </c>
      <c r="G250" s="13" t="s">
        <v>1162</v>
      </c>
      <c r="H250" s="138">
        <v>3</v>
      </c>
      <c r="I250" s="138">
        <v>3</v>
      </c>
      <c r="J250" s="138">
        <v>0</v>
      </c>
      <c r="K250" s="138">
        <v>0</v>
      </c>
      <c r="L250" s="138">
        <v>0</v>
      </c>
      <c r="M250" s="15" t="s">
        <v>1946</v>
      </c>
      <c r="N250" s="15"/>
      <c r="O250" s="100"/>
      <c r="P250" s="14" t="s">
        <v>1164</v>
      </c>
    </row>
    <row r="251" spans="1:16" ht="75">
      <c r="A251" s="13" t="s">
        <v>1947</v>
      </c>
      <c r="B251" s="15" t="s">
        <v>1948</v>
      </c>
      <c r="C251" s="15" t="s">
        <v>1924</v>
      </c>
      <c r="D251" s="15" t="s">
        <v>49</v>
      </c>
      <c r="E251" s="13" t="s">
        <v>1161</v>
      </c>
      <c r="F251" s="13" t="s">
        <v>1162</v>
      </c>
      <c r="G251" s="13" t="s">
        <v>1162</v>
      </c>
      <c r="H251" s="138">
        <v>3</v>
      </c>
      <c r="I251" s="138">
        <v>2</v>
      </c>
      <c r="J251" s="138">
        <v>2</v>
      </c>
      <c r="K251" s="138">
        <v>0</v>
      </c>
      <c r="L251" s="138">
        <v>0</v>
      </c>
      <c r="M251" s="15" t="s">
        <v>1949</v>
      </c>
      <c r="N251" s="15"/>
      <c r="O251" s="100"/>
      <c r="P251" s="14" t="s">
        <v>1164</v>
      </c>
    </row>
    <row r="252" spans="1:16" ht="90">
      <c r="A252" s="13" t="s">
        <v>1950</v>
      </c>
      <c r="B252" s="15" t="s">
        <v>1951</v>
      </c>
      <c r="C252" s="15" t="s">
        <v>1924</v>
      </c>
      <c r="D252" s="15" t="s">
        <v>49</v>
      </c>
      <c r="E252" s="13" t="s">
        <v>1162</v>
      </c>
      <c r="F252" s="13" t="s">
        <v>1161</v>
      </c>
      <c r="G252" s="13" t="s">
        <v>1162</v>
      </c>
      <c r="H252" s="138">
        <v>3</v>
      </c>
      <c r="I252" s="138">
        <v>3</v>
      </c>
      <c r="J252" s="138">
        <v>0</v>
      </c>
      <c r="K252" s="138">
        <v>0</v>
      </c>
      <c r="L252" s="138">
        <v>0</v>
      </c>
      <c r="M252" s="15" t="s">
        <v>1952</v>
      </c>
      <c r="N252" s="15"/>
      <c r="O252" s="100"/>
      <c r="P252" s="14" t="s">
        <v>1164</v>
      </c>
    </row>
    <row r="253" spans="1:16" ht="60">
      <c r="A253" s="13" t="s">
        <v>1953</v>
      </c>
      <c r="B253" s="15" t="s">
        <v>1954</v>
      </c>
      <c r="C253" s="15" t="s">
        <v>1924</v>
      </c>
      <c r="D253" s="15" t="s">
        <v>49</v>
      </c>
      <c r="E253" s="13" t="s">
        <v>1162</v>
      </c>
      <c r="F253" s="13" t="s">
        <v>1161</v>
      </c>
      <c r="G253" s="13" t="s">
        <v>1162</v>
      </c>
      <c r="H253" s="138">
        <v>3</v>
      </c>
      <c r="I253" s="138">
        <v>3</v>
      </c>
      <c r="J253" s="138">
        <v>0</v>
      </c>
      <c r="K253" s="138">
        <v>0</v>
      </c>
      <c r="L253" s="138">
        <v>0</v>
      </c>
      <c r="M253" s="15" t="s">
        <v>1955</v>
      </c>
      <c r="N253" s="15"/>
      <c r="O253" s="100"/>
      <c r="P253" s="14" t="s">
        <v>1164</v>
      </c>
    </row>
    <row r="254" spans="1:16" ht="90">
      <c r="A254" s="13" t="s">
        <v>1956</v>
      </c>
      <c r="B254" s="15" t="s">
        <v>1957</v>
      </c>
      <c r="C254" s="15" t="s">
        <v>1924</v>
      </c>
      <c r="D254" s="15" t="s">
        <v>49</v>
      </c>
      <c r="E254" s="13" t="s">
        <v>1161</v>
      </c>
      <c r="F254" s="13" t="s">
        <v>1162</v>
      </c>
      <c r="G254" s="13" t="s">
        <v>1162</v>
      </c>
      <c r="H254" s="138">
        <v>3</v>
      </c>
      <c r="I254" s="138">
        <v>3</v>
      </c>
      <c r="J254" s="138">
        <v>0</v>
      </c>
      <c r="K254" s="138">
        <v>0</v>
      </c>
      <c r="L254" s="138">
        <v>0</v>
      </c>
      <c r="M254" s="15" t="s">
        <v>1958</v>
      </c>
      <c r="N254" s="15"/>
      <c r="O254" s="100"/>
      <c r="P254" s="14" t="s">
        <v>1164</v>
      </c>
    </row>
    <row r="255" spans="1:16" ht="90">
      <c r="A255" s="13" t="s">
        <v>1959</v>
      </c>
      <c r="B255" s="15" t="s">
        <v>1960</v>
      </c>
      <c r="C255" s="15" t="s">
        <v>1924</v>
      </c>
      <c r="D255" s="15" t="s">
        <v>49</v>
      </c>
      <c r="E255" s="13" t="s">
        <v>1162</v>
      </c>
      <c r="F255" s="13" t="s">
        <v>1162</v>
      </c>
      <c r="G255" s="13" t="s">
        <v>1161</v>
      </c>
      <c r="H255" s="138">
        <v>3</v>
      </c>
      <c r="I255" s="138">
        <v>3</v>
      </c>
      <c r="J255" s="138">
        <v>0</v>
      </c>
      <c r="K255" s="138">
        <v>0</v>
      </c>
      <c r="L255" s="138">
        <v>0</v>
      </c>
      <c r="M255" s="15" t="s">
        <v>1961</v>
      </c>
      <c r="N255" s="15"/>
      <c r="O255" s="100"/>
      <c r="P255" s="14" t="s">
        <v>1164</v>
      </c>
    </row>
    <row r="256" spans="1:16" ht="75">
      <c r="A256" s="13" t="s">
        <v>1962</v>
      </c>
      <c r="B256" s="15" t="s">
        <v>1963</v>
      </c>
      <c r="C256" s="15" t="s">
        <v>1924</v>
      </c>
      <c r="D256" s="15" t="s">
        <v>49</v>
      </c>
      <c r="E256" s="224"/>
      <c r="F256" s="224"/>
      <c r="G256" s="224"/>
      <c r="H256" s="138">
        <v>2</v>
      </c>
      <c r="I256" s="138">
        <v>2</v>
      </c>
      <c r="J256" s="138">
        <v>0</v>
      </c>
      <c r="K256" s="138">
        <v>0</v>
      </c>
      <c r="L256" s="138">
        <v>0</v>
      </c>
      <c r="M256" s="15" t="s">
        <v>1964</v>
      </c>
      <c r="N256" s="15"/>
      <c r="O256" s="100"/>
      <c r="P256" s="14" t="s">
        <v>1164</v>
      </c>
    </row>
    <row r="257" spans="1:16" ht="75">
      <c r="A257" s="13" t="s">
        <v>1965</v>
      </c>
      <c r="B257" s="15" t="s">
        <v>1966</v>
      </c>
      <c r="C257" s="15" t="s">
        <v>1924</v>
      </c>
      <c r="D257" s="15" t="s">
        <v>49</v>
      </c>
      <c r="E257" s="13" t="s">
        <v>1162</v>
      </c>
      <c r="F257" s="13" t="s">
        <v>1162</v>
      </c>
      <c r="G257" s="13" t="s">
        <v>1161</v>
      </c>
      <c r="H257" s="138">
        <v>3</v>
      </c>
      <c r="I257" s="138">
        <v>2</v>
      </c>
      <c r="J257" s="138">
        <v>2</v>
      </c>
      <c r="K257" s="138">
        <v>0</v>
      </c>
      <c r="L257" s="138">
        <v>0</v>
      </c>
      <c r="M257" s="15" t="s">
        <v>1967</v>
      </c>
      <c r="N257" s="15"/>
      <c r="O257" s="100"/>
      <c r="P257" s="14" t="s">
        <v>1164</v>
      </c>
    </row>
    <row r="258" spans="1:16" ht="90">
      <c r="A258" s="13" t="s">
        <v>1968</v>
      </c>
      <c r="B258" s="15" t="s">
        <v>1969</v>
      </c>
      <c r="C258" s="15" t="s">
        <v>1924</v>
      </c>
      <c r="D258" s="15" t="s">
        <v>49</v>
      </c>
      <c r="E258" s="13" t="s">
        <v>1162</v>
      </c>
      <c r="F258" s="13" t="s">
        <v>1162</v>
      </c>
      <c r="G258" s="13" t="s">
        <v>1161</v>
      </c>
      <c r="H258" s="138">
        <v>3</v>
      </c>
      <c r="I258" s="138">
        <v>2</v>
      </c>
      <c r="J258" s="138">
        <v>2</v>
      </c>
      <c r="K258" s="138">
        <v>0</v>
      </c>
      <c r="L258" s="138">
        <v>0</v>
      </c>
      <c r="M258" s="15" t="s">
        <v>1970</v>
      </c>
      <c r="N258" s="15"/>
      <c r="O258" s="100"/>
      <c r="P258" s="14" t="s">
        <v>1164</v>
      </c>
    </row>
    <row r="259" spans="1:16" ht="126" customHeight="1">
      <c r="A259" s="13" t="s">
        <v>1971</v>
      </c>
      <c r="B259" s="15" t="s">
        <v>1972</v>
      </c>
      <c r="C259" s="15" t="s">
        <v>1973</v>
      </c>
      <c r="D259" s="15" t="s">
        <v>49</v>
      </c>
      <c r="E259" s="13" t="s">
        <v>1161</v>
      </c>
      <c r="F259" s="13" t="s">
        <v>1161</v>
      </c>
      <c r="G259" s="13" t="s">
        <v>1162</v>
      </c>
      <c r="H259" s="138">
        <v>3</v>
      </c>
      <c r="I259" s="138">
        <v>3</v>
      </c>
      <c r="J259" s="138">
        <v>0</v>
      </c>
      <c r="K259" s="138">
        <v>0</v>
      </c>
      <c r="L259" s="138">
        <v>0</v>
      </c>
      <c r="M259" s="15" t="s">
        <v>1974</v>
      </c>
      <c r="N259" s="15"/>
      <c r="O259" s="100"/>
      <c r="P259" s="14" t="s">
        <v>1164</v>
      </c>
    </row>
    <row r="260" spans="1:16" ht="165">
      <c r="A260" s="13" t="s">
        <v>1975</v>
      </c>
      <c r="B260" s="15" t="s">
        <v>1976</v>
      </c>
      <c r="C260" s="15" t="s">
        <v>1973</v>
      </c>
      <c r="D260" s="15" t="s">
        <v>49</v>
      </c>
      <c r="E260" s="13" t="s">
        <v>1161</v>
      </c>
      <c r="F260" s="13" t="s">
        <v>1161</v>
      </c>
      <c r="G260" s="13" t="s">
        <v>1161</v>
      </c>
      <c r="H260" s="138">
        <v>3</v>
      </c>
      <c r="I260" s="138">
        <v>3</v>
      </c>
      <c r="J260" s="138">
        <v>0</v>
      </c>
      <c r="K260" s="138">
        <v>0</v>
      </c>
      <c r="L260" s="138">
        <v>0</v>
      </c>
      <c r="M260" s="42" t="s">
        <v>1977</v>
      </c>
      <c r="N260" s="15"/>
      <c r="O260" s="259"/>
      <c r="P260" s="14" t="s">
        <v>1164</v>
      </c>
    </row>
    <row r="261" spans="1:16" ht="120">
      <c r="A261" s="13" t="s">
        <v>1978</v>
      </c>
      <c r="B261" s="15" t="s">
        <v>1979</v>
      </c>
      <c r="C261" s="15" t="s">
        <v>1973</v>
      </c>
      <c r="D261" s="15" t="s">
        <v>49</v>
      </c>
      <c r="E261" s="13" t="s">
        <v>1161</v>
      </c>
      <c r="F261" s="13" t="s">
        <v>1162</v>
      </c>
      <c r="G261" s="13" t="s">
        <v>1162</v>
      </c>
      <c r="H261" s="138">
        <v>3</v>
      </c>
      <c r="I261" s="138">
        <v>3</v>
      </c>
      <c r="J261" s="138">
        <v>0</v>
      </c>
      <c r="K261" s="138">
        <v>0</v>
      </c>
      <c r="L261" s="138">
        <v>0</v>
      </c>
      <c r="M261" s="42" t="s">
        <v>1980</v>
      </c>
      <c r="N261" s="15"/>
      <c r="O261" s="259"/>
      <c r="P261" s="14" t="s">
        <v>1164</v>
      </c>
    </row>
    <row r="262" spans="1:16" ht="90">
      <c r="A262" s="13" t="s">
        <v>1981</v>
      </c>
      <c r="B262" s="15" t="s">
        <v>1982</v>
      </c>
      <c r="C262" s="15" t="s">
        <v>1983</v>
      </c>
      <c r="D262" s="15" t="s">
        <v>49</v>
      </c>
      <c r="E262" s="13" t="s">
        <v>1162</v>
      </c>
      <c r="F262" s="13" t="s">
        <v>1161</v>
      </c>
      <c r="G262" s="13" t="s">
        <v>1162</v>
      </c>
      <c r="H262" s="138">
        <v>3</v>
      </c>
      <c r="I262" s="138">
        <v>2</v>
      </c>
      <c r="J262" s="138">
        <v>3</v>
      </c>
      <c r="K262" s="138">
        <v>0</v>
      </c>
      <c r="L262" s="138">
        <v>0</v>
      </c>
      <c r="M262" s="15" t="s">
        <v>1984</v>
      </c>
      <c r="N262" s="15"/>
      <c r="O262" s="100"/>
      <c r="P262" s="14" t="s">
        <v>1164</v>
      </c>
    </row>
    <row r="263" spans="1:16" ht="90">
      <c r="A263" s="13" t="s">
        <v>1985</v>
      </c>
      <c r="B263" s="15" t="s">
        <v>1986</v>
      </c>
      <c r="C263" s="15" t="s">
        <v>1987</v>
      </c>
      <c r="D263" s="15" t="s">
        <v>49</v>
      </c>
      <c r="E263" s="224"/>
      <c r="F263" s="224"/>
      <c r="G263" s="224"/>
      <c r="H263" s="138">
        <v>3</v>
      </c>
      <c r="I263" s="138">
        <v>3</v>
      </c>
      <c r="J263" s="138">
        <v>0</v>
      </c>
      <c r="K263" s="138">
        <v>0</v>
      </c>
      <c r="L263" s="138">
        <v>0</v>
      </c>
      <c r="M263" s="15" t="s">
        <v>1988</v>
      </c>
      <c r="N263" s="15"/>
      <c r="O263" s="100"/>
      <c r="P263" s="14" t="s">
        <v>1164</v>
      </c>
    </row>
    <row r="264" spans="1:16" ht="60">
      <c r="A264" s="13" t="s">
        <v>1989</v>
      </c>
      <c r="B264" s="15" t="s">
        <v>1990</v>
      </c>
      <c r="C264" s="15" t="s">
        <v>1991</v>
      </c>
      <c r="D264" s="15" t="s">
        <v>49</v>
      </c>
      <c r="E264" s="13" t="s">
        <v>1162</v>
      </c>
      <c r="F264" s="13" t="s">
        <v>1161</v>
      </c>
      <c r="G264" s="13" t="s">
        <v>1162</v>
      </c>
      <c r="H264" s="138">
        <v>2</v>
      </c>
      <c r="I264" s="138">
        <v>2</v>
      </c>
      <c r="J264" s="138">
        <v>0</v>
      </c>
      <c r="K264" s="138">
        <v>0</v>
      </c>
      <c r="L264" s="138">
        <v>0</v>
      </c>
      <c r="M264" s="15" t="s">
        <v>1992</v>
      </c>
      <c r="N264" s="15"/>
      <c r="O264" s="100"/>
      <c r="P264" s="14" t="s">
        <v>1164</v>
      </c>
    </row>
    <row r="265" spans="1:16" ht="75">
      <c r="A265" s="13" t="s">
        <v>1993</v>
      </c>
      <c r="B265" s="15" t="s">
        <v>1994</v>
      </c>
      <c r="C265" s="15" t="s">
        <v>1991</v>
      </c>
      <c r="D265" s="15" t="s">
        <v>49</v>
      </c>
      <c r="E265" s="13" t="s">
        <v>1161</v>
      </c>
      <c r="F265" s="13" t="s">
        <v>1162</v>
      </c>
      <c r="G265" s="13" t="s">
        <v>1162</v>
      </c>
      <c r="H265" s="138">
        <v>3</v>
      </c>
      <c r="I265" s="138">
        <v>2</v>
      </c>
      <c r="J265" s="138">
        <v>3</v>
      </c>
      <c r="K265" s="138">
        <v>0</v>
      </c>
      <c r="L265" s="138">
        <v>0</v>
      </c>
      <c r="M265" s="15" t="s">
        <v>1995</v>
      </c>
      <c r="N265" s="15"/>
      <c r="O265" s="100"/>
      <c r="P265" s="14" t="s">
        <v>1164</v>
      </c>
    </row>
    <row r="266" spans="1:16" ht="120">
      <c r="A266" s="13" t="s">
        <v>1996</v>
      </c>
      <c r="B266" s="15" t="s">
        <v>1997</v>
      </c>
      <c r="C266" s="15" t="s">
        <v>1998</v>
      </c>
      <c r="D266" s="15" t="s">
        <v>49</v>
      </c>
      <c r="E266" s="13" t="s">
        <v>1161</v>
      </c>
      <c r="F266" s="13" t="s">
        <v>1161</v>
      </c>
      <c r="G266" s="13" t="s">
        <v>1161</v>
      </c>
      <c r="H266" s="138">
        <v>3</v>
      </c>
      <c r="I266" s="138">
        <v>3</v>
      </c>
      <c r="J266" s="138">
        <v>0</v>
      </c>
      <c r="K266" s="138">
        <v>0</v>
      </c>
      <c r="L266" s="138">
        <v>0</v>
      </c>
      <c r="M266" s="15" t="s">
        <v>1999</v>
      </c>
      <c r="N266" s="15"/>
      <c r="O266" s="259"/>
      <c r="P266" s="14" t="s">
        <v>1164</v>
      </c>
    </row>
    <row r="267" spans="1:16" ht="90">
      <c r="A267" s="13" t="s">
        <v>2000</v>
      </c>
      <c r="B267" s="15" t="s">
        <v>2001</v>
      </c>
      <c r="C267" s="15" t="s">
        <v>1998</v>
      </c>
      <c r="D267" s="15" t="s">
        <v>49</v>
      </c>
      <c r="E267" s="13" t="s">
        <v>1161</v>
      </c>
      <c r="F267" s="13" t="s">
        <v>1161</v>
      </c>
      <c r="G267" s="13" t="s">
        <v>1161</v>
      </c>
      <c r="H267" s="138">
        <v>3</v>
      </c>
      <c r="I267" s="138">
        <v>3</v>
      </c>
      <c r="J267" s="138">
        <v>0</v>
      </c>
      <c r="K267" s="138">
        <v>0</v>
      </c>
      <c r="L267" s="138">
        <v>0</v>
      </c>
      <c r="M267" s="15" t="s">
        <v>2002</v>
      </c>
      <c r="N267" s="15"/>
      <c r="O267" s="259"/>
      <c r="P267" s="14" t="s">
        <v>1164</v>
      </c>
    </row>
    <row r="268" spans="1:16" ht="120">
      <c r="A268" s="13" t="s">
        <v>2003</v>
      </c>
      <c r="B268" s="15" t="s">
        <v>2004</v>
      </c>
      <c r="C268" s="15" t="s">
        <v>1998</v>
      </c>
      <c r="D268" s="15" t="s">
        <v>49</v>
      </c>
      <c r="E268" s="224"/>
      <c r="F268" s="224"/>
      <c r="G268" s="224"/>
      <c r="H268" s="138">
        <v>3</v>
      </c>
      <c r="I268" s="138">
        <v>2</v>
      </c>
      <c r="J268" s="138">
        <v>2</v>
      </c>
      <c r="K268" s="138">
        <v>0</v>
      </c>
      <c r="L268" s="138">
        <v>0</v>
      </c>
      <c r="M268" s="15" t="s">
        <v>2005</v>
      </c>
      <c r="N268" s="15"/>
      <c r="O268" s="259"/>
      <c r="P268" s="14" t="s">
        <v>1164</v>
      </c>
    </row>
    <row r="269" spans="1:16" ht="240">
      <c r="A269" s="13" t="s">
        <v>2006</v>
      </c>
      <c r="B269" s="15" t="s">
        <v>2007</v>
      </c>
      <c r="C269" s="15" t="s">
        <v>1998</v>
      </c>
      <c r="D269" s="15" t="s">
        <v>49</v>
      </c>
      <c r="E269" s="13" t="s">
        <v>1161</v>
      </c>
      <c r="F269" s="13" t="s">
        <v>1161</v>
      </c>
      <c r="G269" s="13" t="s">
        <v>1161</v>
      </c>
      <c r="H269" s="138">
        <v>3</v>
      </c>
      <c r="I269" s="138">
        <v>2</v>
      </c>
      <c r="J269" s="138">
        <v>2</v>
      </c>
      <c r="K269" s="138">
        <v>0</v>
      </c>
      <c r="L269" s="138">
        <v>0</v>
      </c>
      <c r="M269" s="42" t="s">
        <v>2008</v>
      </c>
      <c r="N269" s="15"/>
      <c r="O269" s="100"/>
      <c r="P269" s="14" t="s">
        <v>1164</v>
      </c>
    </row>
    <row r="270" spans="1:16" ht="195">
      <c r="A270" s="13" t="s">
        <v>2009</v>
      </c>
      <c r="B270" s="15" t="s">
        <v>2010</v>
      </c>
      <c r="C270" s="15" t="s">
        <v>1998</v>
      </c>
      <c r="D270" s="15" t="s">
        <v>49</v>
      </c>
      <c r="E270" s="13" t="s">
        <v>1161</v>
      </c>
      <c r="F270" s="13" t="s">
        <v>1161</v>
      </c>
      <c r="G270" s="13" t="s">
        <v>1161</v>
      </c>
      <c r="H270" s="138">
        <v>4</v>
      </c>
      <c r="I270" s="138">
        <v>3</v>
      </c>
      <c r="J270" s="138">
        <v>2</v>
      </c>
      <c r="K270" s="138">
        <v>0</v>
      </c>
      <c r="L270" s="138">
        <v>0</v>
      </c>
      <c r="M270" s="42" t="s">
        <v>2011</v>
      </c>
      <c r="N270" s="15"/>
      <c r="O270" s="100"/>
      <c r="P270" s="14" t="s">
        <v>1164</v>
      </c>
    </row>
    <row r="271" spans="1:16" ht="195">
      <c r="A271" s="13" t="s">
        <v>2012</v>
      </c>
      <c r="B271" s="15" t="s">
        <v>2013</v>
      </c>
      <c r="C271" s="15" t="s">
        <v>1998</v>
      </c>
      <c r="D271" s="15" t="s">
        <v>49</v>
      </c>
      <c r="E271" s="13" t="s">
        <v>1161</v>
      </c>
      <c r="F271" s="13" t="s">
        <v>1161</v>
      </c>
      <c r="G271" s="13" t="s">
        <v>1161</v>
      </c>
      <c r="H271" s="138">
        <v>4</v>
      </c>
      <c r="I271" s="138">
        <v>3</v>
      </c>
      <c r="J271" s="138">
        <v>2</v>
      </c>
      <c r="K271" s="138">
        <v>0</v>
      </c>
      <c r="L271" s="138">
        <v>0</v>
      </c>
      <c r="M271" s="42" t="s">
        <v>2014</v>
      </c>
      <c r="N271" s="15"/>
      <c r="O271" s="100"/>
      <c r="P271" s="14" t="s">
        <v>1164</v>
      </c>
    </row>
    <row r="272" spans="1:16" ht="195">
      <c r="A272" s="13" t="s">
        <v>2015</v>
      </c>
      <c r="B272" s="15" t="s">
        <v>2016</v>
      </c>
      <c r="C272" s="15" t="s">
        <v>1998</v>
      </c>
      <c r="D272" s="15" t="s">
        <v>49</v>
      </c>
      <c r="E272" s="13" t="s">
        <v>1161</v>
      </c>
      <c r="F272" s="13" t="s">
        <v>1161</v>
      </c>
      <c r="G272" s="13" t="s">
        <v>1161</v>
      </c>
      <c r="H272" s="138">
        <v>4</v>
      </c>
      <c r="I272" s="138">
        <v>3</v>
      </c>
      <c r="J272" s="138">
        <v>2</v>
      </c>
      <c r="K272" s="138">
        <v>0</v>
      </c>
      <c r="L272" s="138">
        <v>0</v>
      </c>
      <c r="M272" s="42" t="s">
        <v>2014</v>
      </c>
      <c r="N272" s="15"/>
      <c r="O272" s="100"/>
      <c r="P272" s="14" t="s">
        <v>1164</v>
      </c>
    </row>
    <row r="273" spans="1:16" ht="165">
      <c r="A273" s="13" t="s">
        <v>2017</v>
      </c>
      <c r="B273" s="15" t="s">
        <v>2018</v>
      </c>
      <c r="C273" s="15" t="s">
        <v>1998</v>
      </c>
      <c r="D273" s="15" t="s">
        <v>49</v>
      </c>
      <c r="E273" s="13" t="s">
        <v>1162</v>
      </c>
      <c r="F273" s="13" t="s">
        <v>1161</v>
      </c>
      <c r="G273" s="13" t="s">
        <v>1162</v>
      </c>
      <c r="H273" s="138">
        <v>4</v>
      </c>
      <c r="I273" s="138">
        <v>3</v>
      </c>
      <c r="J273" s="138">
        <v>2</v>
      </c>
      <c r="K273" s="138">
        <v>0</v>
      </c>
      <c r="L273" s="138">
        <v>0</v>
      </c>
      <c r="M273" s="42" t="s">
        <v>2019</v>
      </c>
      <c r="N273" s="15"/>
      <c r="O273" s="100"/>
      <c r="P273" s="14" t="s">
        <v>1164</v>
      </c>
    </row>
    <row r="274" spans="1:16" ht="150">
      <c r="A274" s="13" t="s">
        <v>2020</v>
      </c>
      <c r="B274" s="15" t="s">
        <v>2021</v>
      </c>
      <c r="C274" s="15" t="s">
        <v>1998</v>
      </c>
      <c r="D274" s="15" t="s">
        <v>49</v>
      </c>
      <c r="E274" s="13" t="s">
        <v>1161</v>
      </c>
      <c r="F274" s="13" t="s">
        <v>1162</v>
      </c>
      <c r="G274" s="13" t="s">
        <v>1161</v>
      </c>
      <c r="H274" s="138">
        <v>4</v>
      </c>
      <c r="I274" s="138">
        <v>3</v>
      </c>
      <c r="J274" s="138">
        <v>2</v>
      </c>
      <c r="K274" s="138">
        <v>0</v>
      </c>
      <c r="L274" s="138">
        <v>0</v>
      </c>
      <c r="M274" s="42" t="s">
        <v>2022</v>
      </c>
      <c r="N274" s="15"/>
      <c r="O274" s="100"/>
      <c r="P274" s="14" t="s">
        <v>1164</v>
      </c>
    </row>
    <row r="275" spans="1:16" ht="150">
      <c r="A275" s="13" t="s">
        <v>2023</v>
      </c>
      <c r="B275" s="15" t="s">
        <v>2024</v>
      </c>
      <c r="C275" s="15" t="s">
        <v>1998</v>
      </c>
      <c r="D275" s="15" t="s">
        <v>49</v>
      </c>
      <c r="E275" s="13" t="s">
        <v>1162</v>
      </c>
      <c r="F275" s="13" t="s">
        <v>1161</v>
      </c>
      <c r="G275" s="13" t="s">
        <v>1162</v>
      </c>
      <c r="H275" s="138">
        <v>4</v>
      </c>
      <c r="I275" s="138">
        <v>3</v>
      </c>
      <c r="J275" s="138">
        <v>2</v>
      </c>
      <c r="K275" s="138">
        <v>0</v>
      </c>
      <c r="L275" s="138">
        <v>0</v>
      </c>
      <c r="M275" s="42" t="s">
        <v>2025</v>
      </c>
      <c r="N275" s="15"/>
      <c r="O275" s="100"/>
      <c r="P275" s="14" t="s">
        <v>1164</v>
      </c>
    </row>
    <row r="276" spans="1:16" ht="150">
      <c r="A276" s="13" t="s">
        <v>2026</v>
      </c>
      <c r="B276" s="15" t="s">
        <v>2027</v>
      </c>
      <c r="C276" s="15" t="s">
        <v>1998</v>
      </c>
      <c r="D276" s="15" t="s">
        <v>49</v>
      </c>
      <c r="E276" s="13" t="s">
        <v>1161</v>
      </c>
      <c r="F276" s="13" t="s">
        <v>1162</v>
      </c>
      <c r="G276" s="13" t="s">
        <v>1162</v>
      </c>
      <c r="H276" s="138">
        <v>4</v>
      </c>
      <c r="I276" s="138">
        <v>3</v>
      </c>
      <c r="J276" s="138">
        <v>2</v>
      </c>
      <c r="K276" s="138">
        <v>0</v>
      </c>
      <c r="L276" s="138">
        <v>0</v>
      </c>
      <c r="M276" s="42" t="s">
        <v>2028</v>
      </c>
      <c r="N276" s="15"/>
      <c r="O276" s="100"/>
      <c r="P276" s="14" t="s">
        <v>1164</v>
      </c>
    </row>
    <row r="277" spans="1:16" ht="183">
      <c r="A277" s="13" t="s">
        <v>2029</v>
      </c>
      <c r="B277" s="15" t="s">
        <v>2030</v>
      </c>
      <c r="C277" s="15" t="s">
        <v>1998</v>
      </c>
      <c r="D277" s="15" t="s">
        <v>49</v>
      </c>
      <c r="E277" s="13" t="s">
        <v>1162</v>
      </c>
      <c r="F277" s="13" t="s">
        <v>1161</v>
      </c>
      <c r="G277" s="13" t="s">
        <v>1162</v>
      </c>
      <c r="H277" s="138">
        <v>3</v>
      </c>
      <c r="I277" s="138">
        <v>2</v>
      </c>
      <c r="J277" s="138">
        <v>2</v>
      </c>
      <c r="K277" s="138">
        <v>0</v>
      </c>
      <c r="L277" s="138">
        <v>0</v>
      </c>
      <c r="M277" s="42" t="s">
        <v>2031</v>
      </c>
      <c r="N277" s="15"/>
      <c r="O277" s="100"/>
      <c r="P277" s="14" t="s">
        <v>1164</v>
      </c>
    </row>
    <row r="278" spans="1:16" ht="60">
      <c r="A278" s="13" t="s">
        <v>2032</v>
      </c>
      <c r="B278" s="15" t="s">
        <v>2033</v>
      </c>
      <c r="C278" s="15" t="s">
        <v>2034</v>
      </c>
      <c r="D278" s="15" t="s">
        <v>49</v>
      </c>
      <c r="E278" s="13" t="s">
        <v>1162</v>
      </c>
      <c r="F278" s="13" t="s">
        <v>1161</v>
      </c>
      <c r="G278" s="13" t="s">
        <v>1162</v>
      </c>
      <c r="H278" s="138">
        <v>2</v>
      </c>
      <c r="I278" s="138">
        <v>1</v>
      </c>
      <c r="J278" s="138">
        <v>2</v>
      </c>
      <c r="K278" s="138">
        <v>0</v>
      </c>
      <c r="L278" s="138">
        <v>0</v>
      </c>
      <c r="M278" s="15" t="s">
        <v>2035</v>
      </c>
      <c r="N278" s="15"/>
      <c r="O278" s="100"/>
      <c r="P278" s="14" t="s">
        <v>1164</v>
      </c>
    </row>
    <row r="279" spans="1:16" ht="75">
      <c r="A279" s="13" t="s">
        <v>2036</v>
      </c>
      <c r="B279" s="15" t="s">
        <v>2037</v>
      </c>
      <c r="C279" s="15" t="s">
        <v>2034</v>
      </c>
      <c r="D279" s="15" t="s">
        <v>49</v>
      </c>
      <c r="E279" s="13" t="s">
        <v>1161</v>
      </c>
      <c r="F279" s="13" t="s">
        <v>1162</v>
      </c>
      <c r="G279" s="13" t="s">
        <v>1162</v>
      </c>
      <c r="H279" s="138">
        <v>3</v>
      </c>
      <c r="I279" s="138">
        <v>2</v>
      </c>
      <c r="J279" s="138">
        <v>2</v>
      </c>
      <c r="K279" s="138">
        <v>0</v>
      </c>
      <c r="L279" s="138">
        <v>0</v>
      </c>
      <c r="M279" s="15" t="s">
        <v>2038</v>
      </c>
      <c r="N279" s="15"/>
      <c r="O279" s="100"/>
      <c r="P279" s="14" t="s">
        <v>1164</v>
      </c>
    </row>
    <row r="280" spans="1:16" ht="75">
      <c r="A280" s="13" t="s">
        <v>2039</v>
      </c>
      <c r="B280" s="15" t="s">
        <v>2040</v>
      </c>
      <c r="C280" s="15" t="s">
        <v>2041</v>
      </c>
      <c r="D280" s="15" t="s">
        <v>49</v>
      </c>
      <c r="E280" s="13" t="s">
        <v>1161</v>
      </c>
      <c r="F280" s="13" t="s">
        <v>1162</v>
      </c>
      <c r="G280" s="13" t="s">
        <v>1162</v>
      </c>
      <c r="H280" s="138">
        <v>1</v>
      </c>
      <c r="I280" s="138">
        <v>1</v>
      </c>
      <c r="J280" s="138">
        <v>0</v>
      </c>
      <c r="K280" s="138">
        <v>0</v>
      </c>
      <c r="L280" s="138">
        <v>0</v>
      </c>
      <c r="M280" s="15" t="s">
        <v>2042</v>
      </c>
      <c r="N280" s="15"/>
      <c r="O280" s="100"/>
      <c r="P280" s="14" t="s">
        <v>1164</v>
      </c>
    </row>
    <row r="281" spans="1:16" ht="90">
      <c r="A281" s="13" t="s">
        <v>2043</v>
      </c>
      <c r="B281" s="15" t="s">
        <v>2044</v>
      </c>
      <c r="C281" s="15" t="s">
        <v>2041</v>
      </c>
      <c r="D281" s="15" t="s">
        <v>49</v>
      </c>
      <c r="E281" s="13" t="s">
        <v>1162</v>
      </c>
      <c r="F281" s="13" t="s">
        <v>1161</v>
      </c>
      <c r="G281" s="13" t="s">
        <v>1162</v>
      </c>
      <c r="H281" s="138">
        <v>1</v>
      </c>
      <c r="I281" s="138">
        <v>0</v>
      </c>
      <c r="J281" s="138">
        <v>0</v>
      </c>
      <c r="K281" s="138">
        <v>3</v>
      </c>
      <c r="L281" s="138">
        <v>0</v>
      </c>
      <c r="M281" s="15" t="s">
        <v>2045</v>
      </c>
      <c r="N281" s="15"/>
      <c r="O281" s="259"/>
      <c r="P281" s="14" t="s">
        <v>1164</v>
      </c>
    </row>
    <row r="282" spans="1:16" ht="75">
      <c r="A282" s="13" t="s">
        <v>2046</v>
      </c>
      <c r="B282" s="15" t="s">
        <v>2047</v>
      </c>
      <c r="C282" s="15" t="s">
        <v>2041</v>
      </c>
      <c r="D282" s="15" t="s">
        <v>49</v>
      </c>
      <c r="E282" s="13" t="s">
        <v>1161</v>
      </c>
      <c r="F282" s="13" t="s">
        <v>1162</v>
      </c>
      <c r="G282" s="13" t="s">
        <v>1162</v>
      </c>
      <c r="H282" s="138">
        <v>1</v>
      </c>
      <c r="I282" s="138">
        <v>1</v>
      </c>
      <c r="J282" s="138">
        <v>0</v>
      </c>
      <c r="K282" s="138">
        <v>0</v>
      </c>
      <c r="L282" s="138">
        <v>0</v>
      </c>
      <c r="M282" s="15" t="s">
        <v>2048</v>
      </c>
      <c r="N282" s="15"/>
      <c r="O282" s="259"/>
      <c r="P282" s="14" t="s">
        <v>1164</v>
      </c>
    </row>
    <row r="283" spans="1:16" ht="105">
      <c r="A283" s="13" t="s">
        <v>2049</v>
      </c>
      <c r="B283" s="15" t="s">
        <v>2050</v>
      </c>
      <c r="C283" s="15" t="s">
        <v>2041</v>
      </c>
      <c r="D283" s="15" t="s">
        <v>49</v>
      </c>
      <c r="E283" s="13" t="s">
        <v>1161</v>
      </c>
      <c r="F283" s="13" t="s">
        <v>1162</v>
      </c>
      <c r="G283" s="13" t="s">
        <v>1162</v>
      </c>
      <c r="H283" s="138">
        <v>2</v>
      </c>
      <c r="I283" s="138">
        <v>2</v>
      </c>
      <c r="J283" s="138">
        <v>0</v>
      </c>
      <c r="K283" s="138">
        <v>0</v>
      </c>
      <c r="L283" s="138">
        <v>0</v>
      </c>
      <c r="M283" s="15" t="s">
        <v>2051</v>
      </c>
      <c r="N283" s="15"/>
      <c r="O283" s="100"/>
      <c r="P283" s="14" t="s">
        <v>1164</v>
      </c>
    </row>
    <row r="284" spans="1:16" ht="90">
      <c r="A284" s="13" t="s">
        <v>2052</v>
      </c>
      <c r="B284" s="15" t="s">
        <v>2053</v>
      </c>
      <c r="C284" s="15" t="s">
        <v>2041</v>
      </c>
      <c r="D284" s="15" t="s">
        <v>49</v>
      </c>
      <c r="E284" s="13" t="s">
        <v>1161</v>
      </c>
      <c r="F284" s="13" t="s">
        <v>1162</v>
      </c>
      <c r="G284" s="13" t="s">
        <v>1162</v>
      </c>
      <c r="H284" s="138">
        <v>3</v>
      </c>
      <c r="I284" s="138">
        <v>3</v>
      </c>
      <c r="J284" s="138">
        <v>0</v>
      </c>
      <c r="K284" s="138">
        <v>0</v>
      </c>
      <c r="L284" s="138">
        <v>0</v>
      </c>
      <c r="M284" s="15" t="s">
        <v>2054</v>
      </c>
      <c r="N284" s="15"/>
      <c r="O284" s="100"/>
      <c r="P284" s="14" t="s">
        <v>1164</v>
      </c>
    </row>
    <row r="285" spans="1:16" ht="75">
      <c r="A285" s="13" t="s">
        <v>2055</v>
      </c>
      <c r="B285" s="15" t="s">
        <v>2056</v>
      </c>
      <c r="C285" s="15" t="s">
        <v>2041</v>
      </c>
      <c r="D285" s="15" t="s">
        <v>49</v>
      </c>
      <c r="E285" s="13" t="s">
        <v>1162</v>
      </c>
      <c r="F285" s="13" t="s">
        <v>1161</v>
      </c>
      <c r="G285" s="13" t="s">
        <v>1162</v>
      </c>
      <c r="H285" s="138">
        <v>3</v>
      </c>
      <c r="I285" s="138">
        <v>3</v>
      </c>
      <c r="J285" s="138">
        <v>0</v>
      </c>
      <c r="K285" s="138">
        <v>0</v>
      </c>
      <c r="L285" s="138">
        <v>0</v>
      </c>
      <c r="M285" s="15" t="s">
        <v>2057</v>
      </c>
      <c r="N285" s="15"/>
      <c r="O285" s="100"/>
      <c r="P285" s="14" t="s">
        <v>1164</v>
      </c>
    </row>
    <row r="286" spans="1:16" ht="60">
      <c r="A286" s="13" t="s">
        <v>2058</v>
      </c>
      <c r="B286" s="15" t="s">
        <v>2059</v>
      </c>
      <c r="C286" s="15" t="s">
        <v>2041</v>
      </c>
      <c r="D286" s="15" t="s">
        <v>49</v>
      </c>
      <c r="E286" s="13" t="s">
        <v>1161</v>
      </c>
      <c r="F286" s="13" t="s">
        <v>1162</v>
      </c>
      <c r="G286" s="13" t="s">
        <v>1162</v>
      </c>
      <c r="H286" s="138">
        <v>2</v>
      </c>
      <c r="I286" s="138">
        <v>1</v>
      </c>
      <c r="J286" s="138">
        <v>2</v>
      </c>
      <c r="K286" s="138">
        <v>0</v>
      </c>
      <c r="L286" s="138">
        <v>0</v>
      </c>
      <c r="M286" s="15" t="s">
        <v>2060</v>
      </c>
      <c r="N286" s="15"/>
      <c r="O286" s="100"/>
      <c r="P286" s="14" t="s">
        <v>1164</v>
      </c>
    </row>
    <row r="287" spans="1:16" ht="75">
      <c r="A287" s="13" t="s">
        <v>2061</v>
      </c>
      <c r="B287" s="15" t="s">
        <v>2062</v>
      </c>
      <c r="C287" s="15" t="s">
        <v>2041</v>
      </c>
      <c r="D287" s="15" t="s">
        <v>49</v>
      </c>
      <c r="E287" s="13" t="s">
        <v>1162</v>
      </c>
      <c r="F287" s="13" t="s">
        <v>1161</v>
      </c>
      <c r="G287" s="13" t="s">
        <v>1162</v>
      </c>
      <c r="H287" s="138">
        <v>2</v>
      </c>
      <c r="I287" s="138">
        <v>1</v>
      </c>
      <c r="J287" s="138">
        <v>2</v>
      </c>
      <c r="K287" s="138">
        <v>0</v>
      </c>
      <c r="L287" s="138">
        <v>0</v>
      </c>
      <c r="M287" s="15" t="s">
        <v>2063</v>
      </c>
      <c r="N287" s="15"/>
      <c r="O287" s="100"/>
      <c r="P287" s="14" t="s">
        <v>1164</v>
      </c>
    </row>
    <row r="288" spans="1:16" ht="60">
      <c r="A288" s="13" t="s">
        <v>2064</v>
      </c>
      <c r="B288" s="15" t="s">
        <v>2065</v>
      </c>
      <c r="C288" s="15" t="s">
        <v>2041</v>
      </c>
      <c r="D288" s="15" t="s">
        <v>49</v>
      </c>
      <c r="E288" s="13" t="s">
        <v>1162</v>
      </c>
      <c r="F288" s="13" t="s">
        <v>1162</v>
      </c>
      <c r="G288" s="13" t="s">
        <v>1162</v>
      </c>
      <c r="H288" s="138">
        <v>3</v>
      </c>
      <c r="I288" s="138">
        <v>2</v>
      </c>
      <c r="J288" s="138">
        <v>2</v>
      </c>
      <c r="K288" s="138">
        <v>0</v>
      </c>
      <c r="L288" s="138">
        <v>0</v>
      </c>
      <c r="M288" s="15" t="s">
        <v>2066</v>
      </c>
      <c r="N288" s="15"/>
      <c r="O288" s="100"/>
      <c r="P288" s="14" t="s">
        <v>1164</v>
      </c>
    </row>
    <row r="289" spans="1:16" ht="75">
      <c r="A289" s="13" t="s">
        <v>2067</v>
      </c>
      <c r="B289" s="15" t="s">
        <v>2068</v>
      </c>
      <c r="C289" s="15" t="s">
        <v>2041</v>
      </c>
      <c r="D289" s="15" t="s">
        <v>49</v>
      </c>
      <c r="E289" s="13" t="s">
        <v>1162</v>
      </c>
      <c r="F289" s="13" t="s">
        <v>1162</v>
      </c>
      <c r="G289" s="13" t="s">
        <v>1161</v>
      </c>
      <c r="H289" s="138">
        <v>5</v>
      </c>
      <c r="I289" s="138">
        <v>3</v>
      </c>
      <c r="J289" s="138">
        <v>4</v>
      </c>
      <c r="K289" s="138">
        <v>0</v>
      </c>
      <c r="L289" s="138">
        <v>0</v>
      </c>
      <c r="M289" s="15" t="s">
        <v>2069</v>
      </c>
      <c r="N289" s="15"/>
      <c r="O289" s="100"/>
      <c r="P289" s="14" t="s">
        <v>1164</v>
      </c>
    </row>
    <row r="290" spans="1:16" ht="75">
      <c r="A290" s="13" t="s">
        <v>2070</v>
      </c>
      <c r="B290" s="15" t="s">
        <v>2071</v>
      </c>
      <c r="C290" s="15" t="s">
        <v>2041</v>
      </c>
      <c r="D290" s="15" t="s">
        <v>49</v>
      </c>
      <c r="E290" s="13" t="s">
        <v>1161</v>
      </c>
      <c r="F290" s="13" t="s">
        <v>1162</v>
      </c>
      <c r="G290" s="13" t="s">
        <v>1162</v>
      </c>
      <c r="H290" s="138">
        <v>5</v>
      </c>
      <c r="I290" s="138">
        <v>3</v>
      </c>
      <c r="J290" s="138">
        <v>4</v>
      </c>
      <c r="K290" s="138">
        <v>0</v>
      </c>
      <c r="L290" s="138">
        <v>0</v>
      </c>
      <c r="M290" s="15" t="s">
        <v>2072</v>
      </c>
      <c r="N290" s="15"/>
      <c r="O290" s="100"/>
      <c r="P290" s="14" t="s">
        <v>1164</v>
      </c>
    </row>
    <row r="291" spans="1:16" ht="60">
      <c r="A291" s="13" t="s">
        <v>2073</v>
      </c>
      <c r="B291" s="15" t="s">
        <v>2074</v>
      </c>
      <c r="C291" s="15" t="s">
        <v>2041</v>
      </c>
      <c r="D291" s="15" t="s">
        <v>49</v>
      </c>
      <c r="E291" s="13" t="s">
        <v>1162</v>
      </c>
      <c r="F291" s="13" t="s">
        <v>1161</v>
      </c>
      <c r="G291" s="13" t="s">
        <v>1162</v>
      </c>
      <c r="H291" s="138">
        <v>2</v>
      </c>
      <c r="I291" s="138">
        <v>1</v>
      </c>
      <c r="J291" s="138">
        <v>3</v>
      </c>
      <c r="K291" s="138">
        <v>0</v>
      </c>
      <c r="L291" s="138">
        <v>0</v>
      </c>
      <c r="M291" s="15" t="s">
        <v>2075</v>
      </c>
      <c r="N291" s="15"/>
      <c r="O291" s="100"/>
      <c r="P291" s="14" t="s">
        <v>1164</v>
      </c>
    </row>
    <row r="292" spans="1:16" ht="90">
      <c r="A292" s="13" t="s">
        <v>2076</v>
      </c>
      <c r="B292" s="15" t="s">
        <v>2077</v>
      </c>
      <c r="C292" s="15" t="s">
        <v>2041</v>
      </c>
      <c r="D292" s="15" t="s">
        <v>49</v>
      </c>
      <c r="E292" s="13" t="s">
        <v>1162</v>
      </c>
      <c r="F292" s="13" t="s">
        <v>1161</v>
      </c>
      <c r="G292" s="13" t="s">
        <v>1162</v>
      </c>
      <c r="H292" s="138">
        <v>5</v>
      </c>
      <c r="I292" s="138">
        <v>0</v>
      </c>
      <c r="J292" s="138">
        <v>0</v>
      </c>
      <c r="K292" s="138">
        <v>15</v>
      </c>
      <c r="L292" s="138">
        <v>0</v>
      </c>
      <c r="M292" s="15" t="s">
        <v>2078</v>
      </c>
      <c r="N292" s="15"/>
      <c r="O292" s="100"/>
      <c r="P292" s="14" t="s">
        <v>1164</v>
      </c>
    </row>
    <row r="293" spans="1:16" ht="90">
      <c r="A293" s="13" t="s">
        <v>2079</v>
      </c>
      <c r="B293" s="15" t="s">
        <v>2080</v>
      </c>
      <c r="C293" s="15" t="s">
        <v>2041</v>
      </c>
      <c r="D293" s="15" t="s">
        <v>49</v>
      </c>
      <c r="E293" s="13" t="s">
        <v>1162</v>
      </c>
      <c r="F293" s="13" t="s">
        <v>1161</v>
      </c>
      <c r="G293" s="13" t="s">
        <v>1162</v>
      </c>
      <c r="H293" s="138">
        <v>2</v>
      </c>
      <c r="I293" s="138">
        <v>2</v>
      </c>
      <c r="J293" s="138">
        <v>0</v>
      </c>
      <c r="K293" s="138">
        <v>0</v>
      </c>
      <c r="L293" s="138">
        <v>0</v>
      </c>
      <c r="M293" s="15" t="s">
        <v>2081</v>
      </c>
      <c r="N293" s="15"/>
      <c r="O293" s="100"/>
      <c r="P293" s="14" t="s">
        <v>1164</v>
      </c>
    </row>
    <row r="294" spans="1:16" ht="90">
      <c r="A294" s="13" t="s">
        <v>2082</v>
      </c>
      <c r="B294" s="15" t="s">
        <v>2083</v>
      </c>
      <c r="C294" s="15" t="s">
        <v>2041</v>
      </c>
      <c r="D294" s="15" t="s">
        <v>49</v>
      </c>
      <c r="E294" s="13" t="s">
        <v>1161</v>
      </c>
      <c r="F294" s="13" t="s">
        <v>1162</v>
      </c>
      <c r="G294" s="13" t="s">
        <v>1162</v>
      </c>
      <c r="H294" s="138">
        <v>3</v>
      </c>
      <c r="I294" s="138">
        <v>2</v>
      </c>
      <c r="J294" s="138">
        <v>2</v>
      </c>
      <c r="K294" s="138">
        <v>0</v>
      </c>
      <c r="L294" s="138">
        <v>0</v>
      </c>
      <c r="M294" s="15" t="s">
        <v>2084</v>
      </c>
      <c r="N294" s="15"/>
      <c r="O294" s="100"/>
      <c r="P294" s="14" t="s">
        <v>1164</v>
      </c>
    </row>
    <row r="295" spans="1:16" ht="75">
      <c r="A295" s="13" t="s">
        <v>2085</v>
      </c>
      <c r="B295" s="15" t="s">
        <v>2086</v>
      </c>
      <c r="C295" s="15" t="s">
        <v>2041</v>
      </c>
      <c r="D295" s="15" t="s">
        <v>49</v>
      </c>
      <c r="E295" s="13" t="s">
        <v>1161</v>
      </c>
      <c r="F295" s="13" t="s">
        <v>1162</v>
      </c>
      <c r="G295" s="13" t="s">
        <v>1162</v>
      </c>
      <c r="H295" s="138">
        <v>3</v>
      </c>
      <c r="I295" s="138">
        <v>3</v>
      </c>
      <c r="J295" s="138">
        <v>0</v>
      </c>
      <c r="K295" s="138">
        <v>0</v>
      </c>
      <c r="L295" s="138">
        <v>0</v>
      </c>
      <c r="M295" s="15" t="s">
        <v>2087</v>
      </c>
      <c r="N295" s="15"/>
      <c r="O295" s="100"/>
      <c r="P295" s="14" t="s">
        <v>1164</v>
      </c>
    </row>
    <row r="296" spans="1:16" ht="105">
      <c r="A296" s="13" t="s">
        <v>2088</v>
      </c>
      <c r="B296" s="15" t="s">
        <v>2089</v>
      </c>
      <c r="C296" s="15" t="s">
        <v>2090</v>
      </c>
      <c r="D296" s="15" t="s">
        <v>49</v>
      </c>
      <c r="E296" s="13" t="s">
        <v>1161</v>
      </c>
      <c r="F296" s="13" t="s">
        <v>1162</v>
      </c>
      <c r="G296" s="13" t="s">
        <v>1162</v>
      </c>
      <c r="H296" s="138">
        <v>3</v>
      </c>
      <c r="I296" s="138">
        <v>3</v>
      </c>
      <c r="J296" s="138">
        <v>0</v>
      </c>
      <c r="K296" s="138">
        <v>0</v>
      </c>
      <c r="L296" s="138">
        <v>0</v>
      </c>
      <c r="M296" s="15" t="s">
        <v>2091</v>
      </c>
      <c r="N296" s="15"/>
      <c r="O296" s="100"/>
      <c r="P296" s="14" t="s">
        <v>1164</v>
      </c>
    </row>
    <row r="297" spans="1:16" ht="75">
      <c r="A297" s="13" t="s">
        <v>2092</v>
      </c>
      <c r="B297" s="15" t="s">
        <v>2093</v>
      </c>
      <c r="C297" s="15" t="s">
        <v>2090</v>
      </c>
      <c r="D297" s="15" t="s">
        <v>49</v>
      </c>
      <c r="E297" s="13" t="s">
        <v>1162</v>
      </c>
      <c r="F297" s="13" t="s">
        <v>1161</v>
      </c>
      <c r="G297" s="13" t="s">
        <v>1162</v>
      </c>
      <c r="H297" s="138">
        <v>3</v>
      </c>
      <c r="I297" s="138">
        <v>3</v>
      </c>
      <c r="J297" s="138">
        <v>0</v>
      </c>
      <c r="K297" s="138">
        <v>0</v>
      </c>
      <c r="L297" s="138">
        <v>0</v>
      </c>
      <c r="M297" s="15" t="s">
        <v>2094</v>
      </c>
      <c r="N297" s="15"/>
      <c r="O297" s="100"/>
      <c r="P297" s="14" t="s">
        <v>1164</v>
      </c>
    </row>
    <row r="298" spans="1:16" ht="90">
      <c r="A298" s="13" t="s">
        <v>2095</v>
      </c>
      <c r="B298" s="15" t="s">
        <v>2096</v>
      </c>
      <c r="C298" s="15" t="s">
        <v>2090</v>
      </c>
      <c r="D298" s="15" t="s">
        <v>49</v>
      </c>
      <c r="E298" s="13" t="s">
        <v>1161</v>
      </c>
      <c r="F298" s="13" t="s">
        <v>1162</v>
      </c>
      <c r="G298" s="13" t="s">
        <v>1162</v>
      </c>
      <c r="H298" s="138">
        <v>3</v>
      </c>
      <c r="I298" s="138">
        <v>3</v>
      </c>
      <c r="J298" s="138">
        <v>0</v>
      </c>
      <c r="K298" s="138">
        <v>0</v>
      </c>
      <c r="L298" s="138">
        <v>0</v>
      </c>
      <c r="M298" s="15" t="s">
        <v>2097</v>
      </c>
      <c r="N298" s="15"/>
      <c r="O298" s="100"/>
      <c r="P298" s="14" t="s">
        <v>1164</v>
      </c>
    </row>
    <row r="299" spans="1:16" ht="75">
      <c r="A299" s="13" t="s">
        <v>2098</v>
      </c>
      <c r="B299" s="15" t="s">
        <v>2099</v>
      </c>
      <c r="C299" s="15" t="s">
        <v>2090</v>
      </c>
      <c r="D299" s="15" t="s">
        <v>49</v>
      </c>
      <c r="E299" s="13" t="s">
        <v>1162</v>
      </c>
      <c r="F299" s="13" t="s">
        <v>1161</v>
      </c>
      <c r="G299" s="13" t="s">
        <v>1162</v>
      </c>
      <c r="H299" s="138">
        <v>3</v>
      </c>
      <c r="I299" s="138">
        <v>3</v>
      </c>
      <c r="J299" s="138">
        <v>0</v>
      </c>
      <c r="K299" s="138">
        <v>0</v>
      </c>
      <c r="L299" s="138">
        <v>0</v>
      </c>
      <c r="M299" s="15" t="s">
        <v>2100</v>
      </c>
      <c r="N299" s="15"/>
      <c r="O299" s="100"/>
      <c r="P299" s="14" t="s">
        <v>1164</v>
      </c>
    </row>
    <row r="300" spans="1:16" ht="60">
      <c r="A300" s="13" t="s">
        <v>2101</v>
      </c>
      <c r="B300" s="15" t="s">
        <v>2102</v>
      </c>
      <c r="C300" s="15" t="s">
        <v>2103</v>
      </c>
      <c r="D300" s="15" t="s">
        <v>49</v>
      </c>
      <c r="E300" s="13" t="s">
        <v>1161</v>
      </c>
      <c r="F300" s="13" t="s">
        <v>1161</v>
      </c>
      <c r="G300" s="13" t="s">
        <v>1162</v>
      </c>
      <c r="H300" s="138">
        <v>3</v>
      </c>
      <c r="I300" s="138">
        <v>3</v>
      </c>
      <c r="J300" s="138">
        <v>0</v>
      </c>
      <c r="K300" s="138">
        <v>0</v>
      </c>
      <c r="L300" s="138">
        <v>0</v>
      </c>
      <c r="M300" s="15" t="s">
        <v>2104</v>
      </c>
      <c r="N300" s="15"/>
      <c r="O300" s="100"/>
      <c r="P300" s="14" t="s">
        <v>1164</v>
      </c>
    </row>
    <row r="301" spans="1:16" ht="90">
      <c r="A301" s="13" t="s">
        <v>2105</v>
      </c>
      <c r="B301" s="15" t="s">
        <v>2106</v>
      </c>
      <c r="C301" s="15" t="s">
        <v>2103</v>
      </c>
      <c r="D301" s="15" t="s">
        <v>49</v>
      </c>
      <c r="E301" s="13" t="s">
        <v>1162</v>
      </c>
      <c r="F301" s="13" t="s">
        <v>1161</v>
      </c>
      <c r="G301" s="13" t="s">
        <v>1162</v>
      </c>
      <c r="H301" s="138">
        <v>3</v>
      </c>
      <c r="I301" s="138">
        <v>3</v>
      </c>
      <c r="J301" s="138">
        <v>0</v>
      </c>
      <c r="K301" s="138">
        <v>0</v>
      </c>
      <c r="L301" s="138">
        <v>0</v>
      </c>
      <c r="M301" s="15" t="s">
        <v>2107</v>
      </c>
      <c r="N301" s="15"/>
      <c r="O301" s="100"/>
      <c r="P301" s="14" t="s">
        <v>1164</v>
      </c>
    </row>
    <row r="302" spans="1:16" ht="75">
      <c r="A302" s="13" t="s">
        <v>2108</v>
      </c>
      <c r="B302" s="15" t="s">
        <v>2109</v>
      </c>
      <c r="C302" s="15" t="s">
        <v>2103</v>
      </c>
      <c r="D302" s="15" t="s">
        <v>49</v>
      </c>
      <c r="E302" s="13" t="s">
        <v>1162</v>
      </c>
      <c r="F302" s="13" t="s">
        <v>1161</v>
      </c>
      <c r="G302" s="13" t="s">
        <v>1162</v>
      </c>
      <c r="H302" s="138">
        <v>3</v>
      </c>
      <c r="I302" s="138">
        <v>3</v>
      </c>
      <c r="J302" s="138">
        <v>0</v>
      </c>
      <c r="K302" s="138">
        <v>0</v>
      </c>
      <c r="L302" s="138">
        <v>0</v>
      </c>
      <c r="M302" s="15" t="s">
        <v>2110</v>
      </c>
      <c r="N302" s="15"/>
      <c r="O302" s="100"/>
      <c r="P302" s="14" t="s">
        <v>1164</v>
      </c>
    </row>
    <row r="303" spans="1:16" ht="60">
      <c r="A303" s="13" t="s">
        <v>2111</v>
      </c>
      <c r="B303" s="15" t="s">
        <v>2112</v>
      </c>
      <c r="C303" s="15" t="s">
        <v>2103</v>
      </c>
      <c r="D303" s="15" t="s">
        <v>49</v>
      </c>
      <c r="E303" s="13" t="s">
        <v>1162</v>
      </c>
      <c r="F303" s="13" t="s">
        <v>1161</v>
      </c>
      <c r="G303" s="13" t="s">
        <v>1162</v>
      </c>
      <c r="H303" s="138">
        <v>3</v>
      </c>
      <c r="I303" s="138">
        <v>3</v>
      </c>
      <c r="J303" s="138">
        <v>0</v>
      </c>
      <c r="K303" s="138">
        <v>0</v>
      </c>
      <c r="L303" s="138">
        <v>0</v>
      </c>
      <c r="M303" s="15" t="s">
        <v>2113</v>
      </c>
      <c r="N303" s="15"/>
      <c r="O303" s="100"/>
      <c r="P303" s="14" t="s">
        <v>1164</v>
      </c>
    </row>
    <row r="304" spans="1:16" ht="60">
      <c r="A304" s="13" t="s">
        <v>2114</v>
      </c>
      <c r="B304" s="15" t="s">
        <v>2115</v>
      </c>
      <c r="C304" s="15" t="s">
        <v>2103</v>
      </c>
      <c r="D304" s="15" t="s">
        <v>49</v>
      </c>
      <c r="E304" s="13" t="s">
        <v>1161</v>
      </c>
      <c r="F304" s="13" t="s">
        <v>1162</v>
      </c>
      <c r="G304" s="13" t="s">
        <v>1162</v>
      </c>
      <c r="H304" s="138">
        <v>3</v>
      </c>
      <c r="I304" s="138">
        <v>3</v>
      </c>
      <c r="J304" s="138">
        <v>0</v>
      </c>
      <c r="K304" s="138">
        <v>0</v>
      </c>
      <c r="L304" s="138">
        <v>0</v>
      </c>
      <c r="M304" s="15" t="s">
        <v>2116</v>
      </c>
      <c r="N304" s="15"/>
      <c r="O304" s="259"/>
      <c r="P304" s="14" t="s">
        <v>1164</v>
      </c>
    </row>
    <row r="305" spans="1:16" ht="105">
      <c r="A305" s="13" t="s">
        <v>2117</v>
      </c>
      <c r="B305" s="15" t="s">
        <v>2118</v>
      </c>
      <c r="C305" s="15" t="s">
        <v>2103</v>
      </c>
      <c r="D305" s="15" t="s">
        <v>49</v>
      </c>
      <c r="E305" s="13" t="s">
        <v>1161</v>
      </c>
      <c r="F305" s="13" t="s">
        <v>1162</v>
      </c>
      <c r="G305" s="13" t="s">
        <v>1162</v>
      </c>
      <c r="H305" s="138">
        <v>3</v>
      </c>
      <c r="I305" s="138">
        <v>2</v>
      </c>
      <c r="J305" s="138">
        <v>2</v>
      </c>
      <c r="K305" s="138">
        <v>0</v>
      </c>
      <c r="L305" s="138">
        <v>0</v>
      </c>
      <c r="M305" s="15" t="s">
        <v>2119</v>
      </c>
      <c r="N305" s="15"/>
      <c r="O305" s="259"/>
      <c r="P305" s="14" t="s">
        <v>1164</v>
      </c>
    </row>
    <row r="306" spans="1:16" ht="90">
      <c r="A306" s="13" t="s">
        <v>2120</v>
      </c>
      <c r="B306" s="15" t="s">
        <v>2121</v>
      </c>
      <c r="C306" s="15" t="s">
        <v>2122</v>
      </c>
      <c r="D306" s="15" t="s">
        <v>49</v>
      </c>
      <c r="E306" s="13" t="s">
        <v>1162</v>
      </c>
      <c r="F306" s="13" t="s">
        <v>1161</v>
      </c>
      <c r="G306" s="13" t="s">
        <v>1162</v>
      </c>
      <c r="H306" s="138">
        <v>2</v>
      </c>
      <c r="I306" s="138">
        <v>1</v>
      </c>
      <c r="J306" s="138">
        <v>3</v>
      </c>
      <c r="K306" s="138">
        <v>0</v>
      </c>
      <c r="L306" s="138">
        <v>0</v>
      </c>
      <c r="M306" s="15" t="s">
        <v>2123</v>
      </c>
      <c r="N306" s="15"/>
      <c r="O306" s="100"/>
      <c r="P306" s="14" t="s">
        <v>1164</v>
      </c>
    </row>
    <row r="307" spans="1:16" ht="150">
      <c r="A307" s="13" t="s">
        <v>2124</v>
      </c>
      <c r="B307" s="15" t="s">
        <v>2125</v>
      </c>
      <c r="C307" s="15" t="s">
        <v>2126</v>
      </c>
      <c r="D307" s="15" t="s">
        <v>49</v>
      </c>
      <c r="E307" s="13" t="s">
        <v>1161</v>
      </c>
      <c r="F307" s="13" t="s">
        <v>1161</v>
      </c>
      <c r="G307" s="13" t="s">
        <v>1161</v>
      </c>
      <c r="H307" s="138">
        <v>3</v>
      </c>
      <c r="I307" s="138">
        <v>3</v>
      </c>
      <c r="J307" s="138">
        <v>0</v>
      </c>
      <c r="K307" s="138">
        <v>0</v>
      </c>
      <c r="L307" s="138">
        <v>0</v>
      </c>
      <c r="M307" s="42" t="s">
        <v>2127</v>
      </c>
      <c r="N307" s="15"/>
      <c r="O307" s="100"/>
      <c r="P307" s="14" t="s">
        <v>1164</v>
      </c>
    </row>
    <row r="308" spans="1:16" ht="135">
      <c r="A308" s="13" t="s">
        <v>2128</v>
      </c>
      <c r="B308" s="15" t="s">
        <v>2129</v>
      </c>
      <c r="C308" s="15" t="s">
        <v>2126</v>
      </c>
      <c r="D308" s="15" t="s">
        <v>49</v>
      </c>
      <c r="E308" s="224"/>
      <c r="F308" s="224"/>
      <c r="G308" s="224"/>
      <c r="H308" s="138">
        <v>3</v>
      </c>
      <c r="I308" s="138">
        <v>3</v>
      </c>
      <c r="J308" s="138">
        <v>0</v>
      </c>
      <c r="K308" s="138">
        <v>0</v>
      </c>
      <c r="L308" s="138">
        <v>0</v>
      </c>
      <c r="M308" s="42" t="s">
        <v>2130</v>
      </c>
      <c r="N308" s="15"/>
      <c r="O308" s="100"/>
      <c r="P308" s="14" t="s">
        <v>1164</v>
      </c>
    </row>
    <row r="309" spans="1:16" ht="150">
      <c r="A309" s="13" t="s">
        <v>2131</v>
      </c>
      <c r="B309" s="15" t="s">
        <v>2132</v>
      </c>
      <c r="C309" s="15" t="s">
        <v>2126</v>
      </c>
      <c r="D309" s="15" t="s">
        <v>49</v>
      </c>
      <c r="E309" s="13" t="s">
        <v>1161</v>
      </c>
      <c r="F309" s="13" t="s">
        <v>1161</v>
      </c>
      <c r="G309" s="13" t="s">
        <v>1161</v>
      </c>
      <c r="H309" s="138">
        <v>3</v>
      </c>
      <c r="I309" s="138">
        <v>3</v>
      </c>
      <c r="J309" s="138">
        <v>0</v>
      </c>
      <c r="K309" s="138">
        <v>0</v>
      </c>
      <c r="L309" s="138">
        <v>0</v>
      </c>
      <c r="M309" s="42" t="s">
        <v>2133</v>
      </c>
      <c r="N309" s="15"/>
      <c r="O309" s="100"/>
      <c r="P309" s="14" t="s">
        <v>1164</v>
      </c>
    </row>
    <row r="310" spans="1:16" ht="137.25">
      <c r="A310" s="13" t="s">
        <v>2134</v>
      </c>
      <c r="B310" s="15" t="s">
        <v>2135</v>
      </c>
      <c r="C310" s="15" t="s">
        <v>2126</v>
      </c>
      <c r="D310" s="15" t="s">
        <v>49</v>
      </c>
      <c r="E310" s="224"/>
      <c r="F310" s="224"/>
      <c r="G310" s="224"/>
      <c r="H310" s="138">
        <v>1</v>
      </c>
      <c r="I310" s="138">
        <v>0</v>
      </c>
      <c r="J310" s="138">
        <v>2</v>
      </c>
      <c r="K310" s="138">
        <v>0</v>
      </c>
      <c r="L310" s="138">
        <v>0</v>
      </c>
      <c r="M310" s="42" t="s">
        <v>2136</v>
      </c>
      <c r="N310" s="15"/>
      <c r="O310" s="259"/>
      <c r="P310" s="14" t="s">
        <v>1164</v>
      </c>
    </row>
    <row r="311" spans="1:16" ht="121.5">
      <c r="A311" s="13" t="s">
        <v>2137</v>
      </c>
      <c r="B311" s="15" t="s">
        <v>2138</v>
      </c>
      <c r="C311" s="15" t="s">
        <v>2126</v>
      </c>
      <c r="D311" s="15" t="s">
        <v>49</v>
      </c>
      <c r="E311" s="224"/>
      <c r="F311" s="224"/>
      <c r="G311" s="224"/>
      <c r="H311" s="138">
        <v>1</v>
      </c>
      <c r="I311" s="138">
        <v>0</v>
      </c>
      <c r="J311" s="138">
        <v>2</v>
      </c>
      <c r="K311" s="138">
        <v>0</v>
      </c>
      <c r="L311" s="138">
        <v>0</v>
      </c>
      <c r="M311" s="42" t="s">
        <v>2139</v>
      </c>
      <c r="N311" s="15"/>
      <c r="O311" s="259"/>
      <c r="P311" s="14" t="s">
        <v>1164</v>
      </c>
    </row>
    <row r="312" spans="1:16" ht="135">
      <c r="A312" s="13" t="s">
        <v>2140</v>
      </c>
      <c r="B312" s="15" t="s">
        <v>2141</v>
      </c>
      <c r="C312" s="15" t="s">
        <v>2126</v>
      </c>
      <c r="D312" s="15" t="s">
        <v>49</v>
      </c>
      <c r="E312" s="13" t="s">
        <v>1162</v>
      </c>
      <c r="F312" s="13" t="s">
        <v>1162</v>
      </c>
      <c r="G312" s="13" t="s">
        <v>1161</v>
      </c>
      <c r="H312" s="138">
        <v>3</v>
      </c>
      <c r="I312" s="138">
        <v>3</v>
      </c>
      <c r="J312" s="138">
        <v>0</v>
      </c>
      <c r="K312" s="138">
        <v>0</v>
      </c>
      <c r="L312" s="138">
        <v>0</v>
      </c>
      <c r="M312" s="42" t="s">
        <v>2142</v>
      </c>
      <c r="N312" s="15"/>
      <c r="O312" s="259"/>
      <c r="P312" s="14" t="s">
        <v>1164</v>
      </c>
    </row>
    <row r="313" spans="1:16" ht="150">
      <c r="A313" s="13" t="s">
        <v>2143</v>
      </c>
      <c r="B313" s="15" t="s">
        <v>2144</v>
      </c>
      <c r="C313" s="15" t="s">
        <v>2126</v>
      </c>
      <c r="D313" s="15" t="s">
        <v>49</v>
      </c>
      <c r="E313" s="13" t="s">
        <v>1161</v>
      </c>
      <c r="F313" s="13" t="s">
        <v>1161</v>
      </c>
      <c r="G313" s="13" t="s">
        <v>1161</v>
      </c>
      <c r="H313" s="138">
        <v>3</v>
      </c>
      <c r="I313" s="138">
        <v>3</v>
      </c>
      <c r="J313" s="138">
        <v>0</v>
      </c>
      <c r="K313" s="138">
        <v>0</v>
      </c>
      <c r="L313" s="138">
        <v>0</v>
      </c>
      <c r="M313" s="25" t="s">
        <v>2145</v>
      </c>
      <c r="N313" s="15"/>
      <c r="O313" s="259"/>
      <c r="P313" s="14" t="s">
        <v>1164</v>
      </c>
    </row>
    <row r="314" spans="1:16" ht="90">
      <c r="A314" s="13" t="s">
        <v>2146</v>
      </c>
      <c r="B314" s="15" t="s">
        <v>2147</v>
      </c>
      <c r="C314" s="15" t="s">
        <v>2148</v>
      </c>
      <c r="D314" s="15" t="s">
        <v>49</v>
      </c>
      <c r="E314" s="13" t="s">
        <v>1162</v>
      </c>
      <c r="F314" s="13" t="s">
        <v>1161</v>
      </c>
      <c r="G314" s="13" t="s">
        <v>1162</v>
      </c>
      <c r="H314" s="138">
        <v>3</v>
      </c>
      <c r="I314" s="138">
        <v>1</v>
      </c>
      <c r="J314" s="138">
        <v>4</v>
      </c>
      <c r="K314" s="138">
        <v>0</v>
      </c>
      <c r="L314" s="138">
        <v>0</v>
      </c>
      <c r="M314" s="15" t="s">
        <v>2149</v>
      </c>
      <c r="N314" s="15"/>
      <c r="O314" s="100"/>
      <c r="P314" s="14" t="s">
        <v>1164</v>
      </c>
    </row>
    <row r="315" spans="1:16" ht="105">
      <c r="A315" s="13" t="s">
        <v>2150</v>
      </c>
      <c r="B315" s="15" t="s">
        <v>2151</v>
      </c>
      <c r="C315" s="15" t="s">
        <v>2152</v>
      </c>
      <c r="D315" s="15" t="s">
        <v>49</v>
      </c>
      <c r="E315" s="13" t="s">
        <v>1161</v>
      </c>
      <c r="F315" s="13" t="s">
        <v>1162</v>
      </c>
      <c r="G315" s="13" t="s">
        <v>1162</v>
      </c>
      <c r="H315" s="138">
        <v>3</v>
      </c>
      <c r="I315" s="138">
        <v>2</v>
      </c>
      <c r="J315" s="138">
        <v>2</v>
      </c>
      <c r="K315" s="138">
        <v>0</v>
      </c>
      <c r="L315" s="138">
        <v>0</v>
      </c>
      <c r="M315" s="15" t="s">
        <v>2153</v>
      </c>
      <c r="N315" s="15"/>
      <c r="O315" s="100"/>
      <c r="P315" s="14" t="s">
        <v>1164</v>
      </c>
    </row>
    <row r="316" spans="1:16" ht="75">
      <c r="A316" s="13" t="s">
        <v>2154</v>
      </c>
      <c r="B316" s="15" t="s">
        <v>2155</v>
      </c>
      <c r="C316" s="15" t="s">
        <v>2152</v>
      </c>
      <c r="D316" s="15" t="s">
        <v>49</v>
      </c>
      <c r="E316" s="13" t="s">
        <v>1162</v>
      </c>
      <c r="F316" s="13" t="s">
        <v>1161</v>
      </c>
      <c r="G316" s="13" t="s">
        <v>1162</v>
      </c>
      <c r="H316" s="138">
        <v>3</v>
      </c>
      <c r="I316" s="138">
        <v>2</v>
      </c>
      <c r="J316" s="138">
        <v>2</v>
      </c>
      <c r="K316" s="138">
        <v>0</v>
      </c>
      <c r="L316" s="138">
        <v>0</v>
      </c>
      <c r="M316" s="15" t="s">
        <v>2156</v>
      </c>
      <c r="N316" s="15"/>
      <c r="O316" s="100"/>
      <c r="P316" s="14" t="s">
        <v>1164</v>
      </c>
    </row>
    <row r="317" spans="1:16" ht="60">
      <c r="A317" s="13" t="s">
        <v>2157</v>
      </c>
      <c r="B317" s="15" t="s">
        <v>2158</v>
      </c>
      <c r="C317" s="15" t="s">
        <v>2152</v>
      </c>
      <c r="D317" s="15" t="s">
        <v>49</v>
      </c>
      <c r="E317" s="13" t="s">
        <v>1161</v>
      </c>
      <c r="F317" s="13" t="s">
        <v>1162</v>
      </c>
      <c r="G317" s="13" t="s">
        <v>1162</v>
      </c>
      <c r="H317" s="138">
        <v>3</v>
      </c>
      <c r="I317" s="138">
        <v>2</v>
      </c>
      <c r="J317" s="138">
        <v>2</v>
      </c>
      <c r="K317" s="138">
        <v>0</v>
      </c>
      <c r="L317" s="138">
        <v>0</v>
      </c>
      <c r="M317" s="15" t="s">
        <v>2159</v>
      </c>
      <c r="N317" s="15"/>
      <c r="O317" s="100"/>
      <c r="P317" s="14" t="s">
        <v>1164</v>
      </c>
    </row>
    <row r="318" spans="1:16" ht="161.25" customHeight="1">
      <c r="A318" s="13" t="s">
        <v>2160</v>
      </c>
      <c r="B318" s="15" t="s">
        <v>2161</v>
      </c>
      <c r="C318" s="15" t="s">
        <v>2162</v>
      </c>
      <c r="D318" s="15" t="s">
        <v>49</v>
      </c>
      <c r="E318" s="13" t="s">
        <v>1161</v>
      </c>
      <c r="F318" s="13" t="s">
        <v>1162</v>
      </c>
      <c r="G318" s="13" t="s">
        <v>1162</v>
      </c>
      <c r="H318" s="138">
        <v>11</v>
      </c>
      <c r="I318" s="138">
        <v>7</v>
      </c>
      <c r="J318" s="138">
        <v>6</v>
      </c>
      <c r="K318" s="138">
        <v>6</v>
      </c>
      <c r="L318" s="138">
        <v>0</v>
      </c>
      <c r="M318" s="42" t="s">
        <v>2163</v>
      </c>
      <c r="N318" s="15"/>
      <c r="O318" s="100"/>
      <c r="P318" s="14" t="s">
        <v>1164</v>
      </c>
    </row>
    <row r="319" spans="1:16" ht="135">
      <c r="A319" s="13" t="s">
        <v>2164</v>
      </c>
      <c r="B319" s="15" t="s">
        <v>2165</v>
      </c>
      <c r="C319" s="15" t="s">
        <v>2162</v>
      </c>
      <c r="D319" s="15" t="s">
        <v>49</v>
      </c>
      <c r="E319" s="13" t="s">
        <v>1162</v>
      </c>
      <c r="F319" s="13" t="s">
        <v>1161</v>
      </c>
      <c r="G319" s="13" t="s">
        <v>1162</v>
      </c>
      <c r="H319" s="138">
        <v>10</v>
      </c>
      <c r="I319" s="138">
        <v>7</v>
      </c>
      <c r="J319" s="138">
        <v>0</v>
      </c>
      <c r="K319" s="138">
        <v>9</v>
      </c>
      <c r="L319" s="138">
        <v>0</v>
      </c>
      <c r="M319" s="42" t="s">
        <v>2166</v>
      </c>
      <c r="N319" s="15"/>
      <c r="O319" s="100"/>
      <c r="P319" s="14" t="s">
        <v>1164</v>
      </c>
    </row>
    <row r="320" spans="1:16" ht="120">
      <c r="A320" s="13" t="s">
        <v>2167</v>
      </c>
      <c r="B320" s="15" t="s">
        <v>2168</v>
      </c>
      <c r="C320" s="15" t="s">
        <v>2162</v>
      </c>
      <c r="D320" s="15" t="s">
        <v>49</v>
      </c>
      <c r="E320" s="13" t="s">
        <v>1162</v>
      </c>
      <c r="F320" s="13" t="s">
        <v>1162</v>
      </c>
      <c r="G320" s="13" t="s">
        <v>1161</v>
      </c>
      <c r="H320" s="138">
        <v>9</v>
      </c>
      <c r="I320" s="138">
        <v>6</v>
      </c>
      <c r="J320" s="138">
        <v>0</v>
      </c>
      <c r="K320" s="138">
        <v>9</v>
      </c>
      <c r="L320" s="138">
        <v>0</v>
      </c>
      <c r="M320" s="42" t="s">
        <v>2169</v>
      </c>
      <c r="N320" s="15"/>
      <c r="O320" s="100"/>
      <c r="P320" s="14" t="s">
        <v>1164</v>
      </c>
    </row>
    <row r="321" spans="1:16" ht="105">
      <c r="A321" s="13" t="s">
        <v>2170</v>
      </c>
      <c r="B321" s="15" t="s">
        <v>2171</v>
      </c>
      <c r="C321" s="15" t="s">
        <v>2162</v>
      </c>
      <c r="D321" s="15" t="s">
        <v>49</v>
      </c>
      <c r="E321" s="13" t="s">
        <v>1161</v>
      </c>
      <c r="F321" s="13" t="s">
        <v>1162</v>
      </c>
      <c r="G321" s="13" t="s">
        <v>1162</v>
      </c>
      <c r="H321" s="138">
        <v>8</v>
      </c>
      <c r="I321" s="138">
        <v>4</v>
      </c>
      <c r="J321" s="138">
        <v>6</v>
      </c>
      <c r="K321" s="138">
        <v>6</v>
      </c>
      <c r="L321" s="138">
        <v>0</v>
      </c>
      <c r="M321" s="15" t="s">
        <v>2172</v>
      </c>
      <c r="N321" s="15"/>
      <c r="O321" s="100"/>
      <c r="P321" s="14" t="s">
        <v>1164</v>
      </c>
    </row>
    <row r="322" spans="1:16" ht="105">
      <c r="A322" s="13" t="s">
        <v>2173</v>
      </c>
      <c r="B322" s="15" t="s">
        <v>2174</v>
      </c>
      <c r="C322" s="15" t="s">
        <v>2162</v>
      </c>
      <c r="D322" s="15" t="s">
        <v>49</v>
      </c>
      <c r="E322" s="13" t="s">
        <v>1162</v>
      </c>
      <c r="F322" s="13" t="s">
        <v>1161</v>
      </c>
      <c r="G322" s="13" t="s">
        <v>1162</v>
      </c>
      <c r="H322" s="138">
        <v>5</v>
      </c>
      <c r="I322" s="138">
        <v>3</v>
      </c>
      <c r="J322" s="138">
        <v>0</v>
      </c>
      <c r="K322" s="138">
        <v>6</v>
      </c>
      <c r="L322" s="138">
        <v>0</v>
      </c>
      <c r="M322" s="15" t="s">
        <v>2175</v>
      </c>
      <c r="N322" s="15"/>
      <c r="O322" s="100"/>
      <c r="P322" s="14" t="s">
        <v>1164</v>
      </c>
    </row>
    <row r="323" spans="1:16" ht="105">
      <c r="A323" s="13" t="s">
        <v>2176</v>
      </c>
      <c r="B323" s="15" t="s">
        <v>2177</v>
      </c>
      <c r="C323" s="15" t="s">
        <v>2162</v>
      </c>
      <c r="D323" s="15" t="s">
        <v>49</v>
      </c>
      <c r="E323" s="13" t="s">
        <v>1162</v>
      </c>
      <c r="F323" s="13" t="s">
        <v>1162</v>
      </c>
      <c r="G323" s="13" t="s">
        <v>1161</v>
      </c>
      <c r="H323" s="138">
        <v>5</v>
      </c>
      <c r="I323" s="138">
        <v>3</v>
      </c>
      <c r="J323" s="138">
        <v>0</v>
      </c>
      <c r="K323" s="138">
        <v>6</v>
      </c>
      <c r="L323" s="138">
        <v>0</v>
      </c>
      <c r="M323" s="15" t="s">
        <v>2178</v>
      </c>
      <c r="N323" s="15"/>
      <c r="O323" s="100"/>
      <c r="P323" s="14" t="s">
        <v>1164</v>
      </c>
    </row>
    <row r="324" spans="1:16" ht="105">
      <c r="A324" s="13" t="s">
        <v>2179</v>
      </c>
      <c r="B324" s="15" t="s">
        <v>2180</v>
      </c>
      <c r="C324" s="15" t="s">
        <v>2162</v>
      </c>
      <c r="D324" s="15" t="s">
        <v>49</v>
      </c>
      <c r="E324" s="13" t="s">
        <v>1162</v>
      </c>
      <c r="F324" s="13" t="s">
        <v>1161</v>
      </c>
      <c r="G324" s="13" t="s">
        <v>1162</v>
      </c>
      <c r="H324" s="138">
        <v>5</v>
      </c>
      <c r="I324" s="138">
        <v>3</v>
      </c>
      <c r="J324" s="138">
        <v>0</v>
      </c>
      <c r="K324" s="138">
        <v>6</v>
      </c>
      <c r="L324" s="138">
        <v>0</v>
      </c>
      <c r="M324" s="15" t="s">
        <v>2181</v>
      </c>
      <c r="N324" s="15"/>
      <c r="O324" s="100"/>
      <c r="P324" s="14" t="s">
        <v>1164</v>
      </c>
    </row>
    <row r="325" spans="1:16" ht="90">
      <c r="A325" s="13" t="s">
        <v>2182</v>
      </c>
      <c r="B325" s="15" t="s">
        <v>2183</v>
      </c>
      <c r="C325" s="15" t="s">
        <v>2162</v>
      </c>
      <c r="D325" s="15" t="s">
        <v>49</v>
      </c>
      <c r="E325" s="13" t="s">
        <v>1161</v>
      </c>
      <c r="F325" s="13" t="s">
        <v>1162</v>
      </c>
      <c r="G325" s="13" t="s">
        <v>1162</v>
      </c>
      <c r="H325" s="138">
        <v>5</v>
      </c>
      <c r="I325" s="138">
        <v>3</v>
      </c>
      <c r="J325" s="138">
        <v>0</v>
      </c>
      <c r="K325" s="138">
        <v>6</v>
      </c>
      <c r="L325" s="138">
        <v>0</v>
      </c>
      <c r="M325" s="15" t="s">
        <v>2184</v>
      </c>
      <c r="N325" s="15"/>
      <c r="O325" s="100"/>
      <c r="P325" s="14" t="s">
        <v>1164</v>
      </c>
    </row>
    <row r="326" spans="1:16" ht="105">
      <c r="A326" s="13" t="s">
        <v>2185</v>
      </c>
      <c r="B326" s="15" t="s">
        <v>2186</v>
      </c>
      <c r="C326" s="15" t="s">
        <v>2162</v>
      </c>
      <c r="D326" s="15" t="s">
        <v>49</v>
      </c>
      <c r="E326" s="13" t="s">
        <v>1162</v>
      </c>
      <c r="F326" s="13" t="s">
        <v>1161</v>
      </c>
      <c r="G326" s="13" t="s">
        <v>1161</v>
      </c>
      <c r="H326" s="138">
        <v>5</v>
      </c>
      <c r="I326" s="138">
        <v>3</v>
      </c>
      <c r="J326" s="138">
        <v>0</v>
      </c>
      <c r="K326" s="138">
        <v>6</v>
      </c>
      <c r="L326" s="138">
        <v>0</v>
      </c>
      <c r="M326" s="15" t="s">
        <v>2187</v>
      </c>
      <c r="N326" s="15"/>
      <c r="O326" s="100"/>
      <c r="P326" s="14" t="s">
        <v>1164</v>
      </c>
    </row>
    <row r="327" spans="1:16" ht="105">
      <c r="A327" s="13" t="s">
        <v>2188</v>
      </c>
      <c r="B327" s="15" t="s">
        <v>2189</v>
      </c>
      <c r="C327" s="15" t="s">
        <v>2162</v>
      </c>
      <c r="D327" s="15" t="s">
        <v>49</v>
      </c>
      <c r="E327" s="13" t="s">
        <v>1162</v>
      </c>
      <c r="F327" s="13" t="s">
        <v>1161</v>
      </c>
      <c r="G327" s="13" t="s">
        <v>1162</v>
      </c>
      <c r="H327" s="138">
        <v>10</v>
      </c>
      <c r="I327" s="138">
        <v>4</v>
      </c>
      <c r="J327" s="138">
        <v>3</v>
      </c>
      <c r="K327" s="138">
        <v>15</v>
      </c>
      <c r="L327" s="138">
        <v>0</v>
      </c>
      <c r="M327" s="15" t="s">
        <v>2190</v>
      </c>
      <c r="N327" s="15"/>
      <c r="O327" s="101"/>
      <c r="P327" s="14" t="s">
        <v>1164</v>
      </c>
    </row>
    <row r="328" spans="1:16" ht="60">
      <c r="A328" s="13" t="s">
        <v>2191</v>
      </c>
      <c r="B328" s="15" t="s">
        <v>2192</v>
      </c>
      <c r="C328" s="15" t="s">
        <v>2193</v>
      </c>
      <c r="D328" s="15" t="s">
        <v>49</v>
      </c>
      <c r="E328" s="13" t="s">
        <v>1161</v>
      </c>
      <c r="F328" s="13" t="s">
        <v>1162</v>
      </c>
      <c r="G328" s="13" t="s">
        <v>1162</v>
      </c>
      <c r="H328" s="138">
        <v>2</v>
      </c>
      <c r="I328" s="138">
        <v>1</v>
      </c>
      <c r="J328" s="138">
        <v>2</v>
      </c>
      <c r="K328" s="138">
        <v>0</v>
      </c>
      <c r="L328" s="138">
        <v>0</v>
      </c>
      <c r="M328" s="15" t="s">
        <v>2194</v>
      </c>
      <c r="N328" s="15"/>
      <c r="O328" s="100"/>
      <c r="P328" s="14" t="s">
        <v>1164</v>
      </c>
    </row>
    <row r="329" spans="1:16" ht="60">
      <c r="A329" s="13" t="s">
        <v>2195</v>
      </c>
      <c r="B329" s="15" t="s">
        <v>2196</v>
      </c>
      <c r="C329" s="15" t="s">
        <v>2193</v>
      </c>
      <c r="D329" s="15" t="s">
        <v>49</v>
      </c>
      <c r="E329" s="224"/>
      <c r="F329" s="224"/>
      <c r="G329" s="224"/>
      <c r="H329" s="138">
        <v>3</v>
      </c>
      <c r="I329" s="138">
        <v>2</v>
      </c>
      <c r="J329" s="138">
        <v>2</v>
      </c>
      <c r="K329" s="138">
        <v>0</v>
      </c>
      <c r="L329" s="138">
        <v>0</v>
      </c>
      <c r="M329" s="15" t="s">
        <v>2197</v>
      </c>
      <c r="N329" s="15"/>
      <c r="O329" s="100"/>
      <c r="P329" s="14" t="s">
        <v>1164</v>
      </c>
    </row>
    <row r="330" spans="1:16" ht="60">
      <c r="A330" s="13" t="s">
        <v>2198</v>
      </c>
      <c r="B330" s="15" t="s">
        <v>2199</v>
      </c>
      <c r="C330" s="15" t="s">
        <v>2193</v>
      </c>
      <c r="D330" s="15" t="s">
        <v>49</v>
      </c>
      <c r="E330" s="224"/>
      <c r="F330" s="224"/>
      <c r="G330" s="224"/>
      <c r="H330" s="138">
        <v>3</v>
      </c>
      <c r="I330" s="138">
        <v>2</v>
      </c>
      <c r="J330" s="138">
        <v>2</v>
      </c>
      <c r="K330" s="138">
        <v>0</v>
      </c>
      <c r="L330" s="138">
        <v>0</v>
      </c>
      <c r="M330" s="15" t="s">
        <v>2200</v>
      </c>
      <c r="N330" s="15"/>
      <c r="O330" s="100"/>
      <c r="P330" s="14" t="s">
        <v>1164</v>
      </c>
    </row>
    <row r="331" spans="1:16" ht="90">
      <c r="A331" s="13" t="s">
        <v>2201</v>
      </c>
      <c r="B331" s="15" t="s">
        <v>2202</v>
      </c>
      <c r="C331" s="15" t="s">
        <v>2193</v>
      </c>
      <c r="D331" s="15" t="s">
        <v>49</v>
      </c>
      <c r="E331" s="224"/>
      <c r="F331" s="224"/>
      <c r="G331" s="224"/>
      <c r="H331" s="138">
        <v>3</v>
      </c>
      <c r="I331" s="138">
        <v>3</v>
      </c>
      <c r="J331" s="138">
        <v>0</v>
      </c>
      <c r="K331" s="138">
        <v>0</v>
      </c>
      <c r="L331" s="138">
        <v>0</v>
      </c>
      <c r="M331" s="15" t="s">
        <v>2203</v>
      </c>
      <c r="N331" s="15"/>
      <c r="O331" s="100"/>
      <c r="P331" s="14" t="s">
        <v>1164</v>
      </c>
    </row>
    <row r="332" spans="1:16" ht="105">
      <c r="A332" s="13" t="s">
        <v>2204</v>
      </c>
      <c r="B332" s="15" t="s">
        <v>2205</v>
      </c>
      <c r="C332" s="15" t="s">
        <v>2206</v>
      </c>
      <c r="D332" s="15" t="s">
        <v>49</v>
      </c>
      <c r="E332" s="13" t="s">
        <v>1161</v>
      </c>
      <c r="F332" s="13" t="s">
        <v>1162</v>
      </c>
      <c r="G332" s="13" t="s">
        <v>1162</v>
      </c>
      <c r="H332" s="138">
        <v>3</v>
      </c>
      <c r="I332" s="138">
        <v>3</v>
      </c>
      <c r="J332" s="138">
        <v>0</v>
      </c>
      <c r="K332" s="138">
        <v>0</v>
      </c>
      <c r="L332" s="138">
        <v>0</v>
      </c>
      <c r="M332" s="15" t="s">
        <v>2207</v>
      </c>
      <c r="N332" s="15"/>
      <c r="O332" s="100"/>
      <c r="P332" s="14" t="s">
        <v>1164</v>
      </c>
    </row>
    <row r="333" spans="1:16" ht="75">
      <c r="A333" s="13" t="s">
        <v>2208</v>
      </c>
      <c r="B333" s="15" t="s">
        <v>2209</v>
      </c>
      <c r="C333" s="15" t="s">
        <v>2206</v>
      </c>
      <c r="D333" s="15" t="s">
        <v>49</v>
      </c>
      <c r="E333" s="13" t="s">
        <v>1162</v>
      </c>
      <c r="F333" s="13" t="s">
        <v>1161</v>
      </c>
      <c r="G333" s="13" t="s">
        <v>1162</v>
      </c>
      <c r="H333" s="138">
        <v>3</v>
      </c>
      <c r="I333" s="138">
        <v>3</v>
      </c>
      <c r="J333" s="138">
        <v>0</v>
      </c>
      <c r="K333" s="138">
        <v>0</v>
      </c>
      <c r="L333" s="138">
        <v>0</v>
      </c>
      <c r="M333" s="15" t="s">
        <v>2210</v>
      </c>
      <c r="N333" s="15"/>
      <c r="O333" s="100"/>
      <c r="P333" s="14" t="s">
        <v>1164</v>
      </c>
    </row>
    <row r="334" spans="1:16" ht="105">
      <c r="A334" s="13" t="s">
        <v>2211</v>
      </c>
      <c r="B334" s="15" t="s">
        <v>2212</v>
      </c>
      <c r="C334" s="15" t="s">
        <v>2206</v>
      </c>
      <c r="D334" s="15" t="s">
        <v>49</v>
      </c>
      <c r="E334" s="13" t="s">
        <v>1161</v>
      </c>
      <c r="F334" s="13" t="s">
        <v>1162</v>
      </c>
      <c r="G334" s="13" t="s">
        <v>1162</v>
      </c>
      <c r="H334" s="138">
        <v>3</v>
      </c>
      <c r="I334" s="138">
        <v>3</v>
      </c>
      <c r="J334" s="138">
        <v>0</v>
      </c>
      <c r="K334" s="138">
        <v>0</v>
      </c>
      <c r="L334" s="138">
        <v>0</v>
      </c>
      <c r="M334" s="15" t="s">
        <v>2213</v>
      </c>
      <c r="N334" s="15"/>
      <c r="O334" s="100"/>
      <c r="P334" s="14" t="s">
        <v>1164</v>
      </c>
    </row>
    <row r="335" spans="1:16" ht="90">
      <c r="A335" s="13" t="s">
        <v>2214</v>
      </c>
      <c r="B335" s="15" t="s">
        <v>2215</v>
      </c>
      <c r="C335" s="15" t="s">
        <v>2206</v>
      </c>
      <c r="D335" s="15" t="s">
        <v>49</v>
      </c>
      <c r="E335" s="13" t="s">
        <v>1162</v>
      </c>
      <c r="F335" s="13" t="s">
        <v>1161</v>
      </c>
      <c r="G335" s="13" t="s">
        <v>1162</v>
      </c>
      <c r="H335" s="138">
        <v>3</v>
      </c>
      <c r="I335" s="138">
        <v>3</v>
      </c>
      <c r="J335" s="138">
        <v>0</v>
      </c>
      <c r="K335" s="138">
        <v>0</v>
      </c>
      <c r="L335" s="138">
        <v>0</v>
      </c>
      <c r="M335" s="15" t="s">
        <v>2216</v>
      </c>
      <c r="N335" s="15"/>
      <c r="O335" s="100"/>
      <c r="P335" s="14" t="s">
        <v>1164</v>
      </c>
    </row>
    <row r="336" spans="1:16" ht="90">
      <c r="A336" s="13" t="s">
        <v>2217</v>
      </c>
      <c r="B336" s="15" t="s">
        <v>2218</v>
      </c>
      <c r="C336" s="15" t="s">
        <v>2219</v>
      </c>
      <c r="D336" s="15" t="s">
        <v>49</v>
      </c>
      <c r="E336" s="13" t="s">
        <v>1162</v>
      </c>
      <c r="F336" s="13" t="s">
        <v>1161</v>
      </c>
      <c r="G336" s="13" t="s">
        <v>1162</v>
      </c>
      <c r="H336" s="138">
        <v>4</v>
      </c>
      <c r="I336" s="138">
        <v>3</v>
      </c>
      <c r="J336" s="138">
        <v>3</v>
      </c>
      <c r="K336" s="138">
        <v>0</v>
      </c>
      <c r="L336" s="138">
        <v>0</v>
      </c>
      <c r="M336" s="15" t="s">
        <v>2220</v>
      </c>
      <c r="N336" s="15"/>
      <c r="O336" s="259"/>
      <c r="P336" s="14" t="s">
        <v>1164</v>
      </c>
    </row>
    <row r="337" spans="1:16" ht="150">
      <c r="A337" s="13" t="s">
        <v>2221</v>
      </c>
      <c r="B337" s="15" t="s">
        <v>2222</v>
      </c>
      <c r="C337" s="15" t="s">
        <v>2223</v>
      </c>
      <c r="D337" s="15" t="s">
        <v>49</v>
      </c>
      <c r="E337" s="13" t="s">
        <v>1161</v>
      </c>
      <c r="F337" s="13" t="s">
        <v>1161</v>
      </c>
      <c r="G337" s="13" t="s">
        <v>1161</v>
      </c>
      <c r="H337" s="138">
        <v>2</v>
      </c>
      <c r="I337" s="138">
        <v>1</v>
      </c>
      <c r="J337" s="138">
        <v>2</v>
      </c>
      <c r="K337" s="138">
        <v>0</v>
      </c>
      <c r="L337" s="138">
        <v>0</v>
      </c>
      <c r="M337" s="42" t="s">
        <v>2224</v>
      </c>
      <c r="N337" s="15"/>
      <c r="O337" s="100"/>
      <c r="P337" s="14" t="s">
        <v>1164</v>
      </c>
    </row>
    <row r="338" spans="1:16" ht="120">
      <c r="A338" s="13" t="s">
        <v>2225</v>
      </c>
      <c r="B338" s="15" t="s">
        <v>2226</v>
      </c>
      <c r="C338" s="15" t="s">
        <v>2223</v>
      </c>
      <c r="D338" s="15" t="s">
        <v>49</v>
      </c>
      <c r="E338" s="13" t="s">
        <v>1161</v>
      </c>
      <c r="F338" s="13" t="s">
        <v>1161</v>
      </c>
      <c r="G338" s="13" t="s">
        <v>1162</v>
      </c>
      <c r="H338" s="138">
        <v>1</v>
      </c>
      <c r="I338" s="138">
        <v>0</v>
      </c>
      <c r="J338" s="138">
        <v>3</v>
      </c>
      <c r="K338" s="138">
        <v>0</v>
      </c>
      <c r="L338" s="138">
        <v>0</v>
      </c>
      <c r="M338" s="42" t="s">
        <v>2227</v>
      </c>
      <c r="N338" s="15"/>
      <c r="O338" s="100"/>
      <c r="P338" s="14" t="s">
        <v>1164</v>
      </c>
    </row>
    <row r="339" spans="1:16" ht="120">
      <c r="A339" s="13" t="s">
        <v>2228</v>
      </c>
      <c r="B339" s="15" t="s">
        <v>2229</v>
      </c>
      <c r="C339" s="15" t="s">
        <v>2223</v>
      </c>
      <c r="D339" s="15" t="s">
        <v>49</v>
      </c>
      <c r="E339" s="13" t="s">
        <v>1161</v>
      </c>
      <c r="F339" s="13" t="s">
        <v>1161</v>
      </c>
      <c r="G339" s="13" t="s">
        <v>1162</v>
      </c>
      <c r="H339" s="138">
        <v>1</v>
      </c>
      <c r="I339" s="138">
        <v>0</v>
      </c>
      <c r="J339" s="138">
        <v>3</v>
      </c>
      <c r="K339" s="138">
        <v>0</v>
      </c>
      <c r="L339" s="138">
        <v>0</v>
      </c>
      <c r="M339" s="42" t="s">
        <v>2230</v>
      </c>
      <c r="N339" s="15"/>
      <c r="O339" s="259"/>
      <c r="P339" s="14" t="s">
        <v>1164</v>
      </c>
    </row>
    <row r="340" spans="1:16" ht="105">
      <c r="A340" s="13" t="s">
        <v>2231</v>
      </c>
      <c r="B340" s="15" t="s">
        <v>2232</v>
      </c>
      <c r="C340" s="15" t="s">
        <v>2223</v>
      </c>
      <c r="D340" s="15" t="s">
        <v>49</v>
      </c>
      <c r="E340" s="224"/>
      <c r="F340" s="224"/>
      <c r="G340" s="224"/>
      <c r="H340" s="138">
        <v>1</v>
      </c>
      <c r="I340" s="138">
        <v>0</v>
      </c>
      <c r="J340" s="138">
        <v>2</v>
      </c>
      <c r="K340" s="138">
        <v>0</v>
      </c>
      <c r="L340" s="138">
        <v>0</v>
      </c>
      <c r="M340" s="25" t="s">
        <v>2233</v>
      </c>
      <c r="N340" s="15"/>
      <c r="O340" s="259"/>
      <c r="P340" s="14" t="s">
        <v>1164</v>
      </c>
    </row>
    <row r="341" spans="1:16" ht="120">
      <c r="A341" s="13" t="s">
        <v>2234</v>
      </c>
      <c r="B341" s="15" t="s">
        <v>2235</v>
      </c>
      <c r="C341" s="15" t="s">
        <v>2223</v>
      </c>
      <c r="D341" s="15" t="s">
        <v>49</v>
      </c>
      <c r="E341" s="224"/>
      <c r="F341" s="224"/>
      <c r="G341" s="224"/>
      <c r="H341" s="138">
        <v>1</v>
      </c>
      <c r="I341" s="138">
        <v>0</v>
      </c>
      <c r="J341" s="138">
        <v>2</v>
      </c>
      <c r="K341" s="138">
        <v>0</v>
      </c>
      <c r="L341" s="138">
        <v>0</v>
      </c>
      <c r="M341" s="25" t="s">
        <v>2236</v>
      </c>
      <c r="N341" s="15"/>
      <c r="O341" s="259"/>
      <c r="P341" s="14" t="s">
        <v>1164</v>
      </c>
    </row>
    <row r="342" spans="1:16" ht="105">
      <c r="A342" s="13" t="s">
        <v>2237</v>
      </c>
      <c r="B342" s="15" t="s">
        <v>2238</v>
      </c>
      <c r="C342" s="15" t="s">
        <v>2223</v>
      </c>
      <c r="D342" s="15" t="s">
        <v>49</v>
      </c>
      <c r="E342" s="224"/>
      <c r="F342" s="224"/>
      <c r="G342" s="224"/>
      <c r="H342" s="138">
        <v>1</v>
      </c>
      <c r="I342" s="138">
        <v>0</v>
      </c>
      <c r="J342" s="138">
        <v>2</v>
      </c>
      <c r="K342" s="138">
        <v>0</v>
      </c>
      <c r="L342" s="138">
        <v>0</v>
      </c>
      <c r="M342" s="25" t="s">
        <v>2239</v>
      </c>
      <c r="N342" s="15"/>
      <c r="O342" s="259"/>
      <c r="P342" s="14" t="s">
        <v>1164</v>
      </c>
    </row>
    <row r="343" spans="1:16" ht="135">
      <c r="A343" s="13" t="s">
        <v>2240</v>
      </c>
      <c r="B343" s="15" t="s">
        <v>2241</v>
      </c>
      <c r="C343" s="15" t="s">
        <v>2223</v>
      </c>
      <c r="D343" s="15" t="s">
        <v>49</v>
      </c>
      <c r="E343" s="224"/>
      <c r="F343" s="224"/>
      <c r="G343" s="224"/>
      <c r="H343" s="138">
        <v>1</v>
      </c>
      <c r="I343" s="138">
        <v>0</v>
      </c>
      <c r="J343" s="138">
        <v>2</v>
      </c>
      <c r="K343" s="138">
        <v>0</v>
      </c>
      <c r="L343" s="138">
        <v>0</v>
      </c>
      <c r="M343" s="25" t="s">
        <v>2242</v>
      </c>
      <c r="N343" s="15"/>
      <c r="O343" s="259"/>
      <c r="P343" s="14" t="s">
        <v>1164</v>
      </c>
    </row>
    <row r="344" spans="1:16" ht="120">
      <c r="A344" s="13" t="s">
        <v>2243</v>
      </c>
      <c r="B344" s="15" t="s">
        <v>2244</v>
      </c>
      <c r="C344" s="15" t="s">
        <v>2223</v>
      </c>
      <c r="D344" s="15" t="s">
        <v>49</v>
      </c>
      <c r="E344" s="224"/>
      <c r="F344" s="224"/>
      <c r="G344" s="224"/>
      <c r="H344" s="138">
        <v>1</v>
      </c>
      <c r="I344" s="138">
        <v>0</v>
      </c>
      <c r="J344" s="138">
        <v>2</v>
      </c>
      <c r="K344" s="138">
        <v>0</v>
      </c>
      <c r="L344" s="138">
        <v>0</v>
      </c>
      <c r="M344" s="25" t="s">
        <v>2245</v>
      </c>
      <c r="N344" s="15"/>
      <c r="O344" s="259"/>
      <c r="P344" s="14" t="s">
        <v>1164</v>
      </c>
    </row>
    <row r="345" spans="1:16" ht="120">
      <c r="A345" s="13" t="s">
        <v>2246</v>
      </c>
      <c r="B345" s="15" t="s">
        <v>2247</v>
      </c>
      <c r="C345" s="15" t="s">
        <v>2223</v>
      </c>
      <c r="D345" s="15" t="s">
        <v>49</v>
      </c>
      <c r="E345" s="224"/>
      <c r="F345" s="224"/>
      <c r="G345" s="224"/>
      <c r="H345" s="138">
        <v>2</v>
      </c>
      <c r="I345" s="138">
        <v>1</v>
      </c>
      <c r="J345" s="138">
        <v>2</v>
      </c>
      <c r="K345" s="138">
        <v>0</v>
      </c>
      <c r="L345" s="138">
        <v>0</v>
      </c>
      <c r="M345" s="25" t="s">
        <v>2248</v>
      </c>
      <c r="N345" s="15"/>
      <c r="O345" s="259"/>
      <c r="P345" s="14" t="s">
        <v>1164</v>
      </c>
    </row>
    <row r="346" spans="1:16" ht="120">
      <c r="A346" s="13" t="s">
        <v>2249</v>
      </c>
      <c r="B346" s="15" t="s">
        <v>2250</v>
      </c>
      <c r="C346" s="15" t="s">
        <v>2223</v>
      </c>
      <c r="D346" s="15" t="s">
        <v>49</v>
      </c>
      <c r="E346" s="13" t="s">
        <v>1161</v>
      </c>
      <c r="F346" s="13" t="s">
        <v>1161</v>
      </c>
      <c r="G346" s="13" t="s">
        <v>1162</v>
      </c>
      <c r="H346" s="138">
        <v>1</v>
      </c>
      <c r="I346" s="138">
        <v>0</v>
      </c>
      <c r="J346" s="138">
        <v>2</v>
      </c>
      <c r="K346" s="138">
        <v>0</v>
      </c>
      <c r="L346" s="138">
        <v>0</v>
      </c>
      <c r="M346" s="42" t="s">
        <v>2251</v>
      </c>
      <c r="N346" s="15"/>
      <c r="O346" s="100"/>
      <c r="P346" s="14" t="s">
        <v>1164</v>
      </c>
    </row>
    <row r="347" spans="1:16" ht="120">
      <c r="A347" s="13" t="s">
        <v>2252</v>
      </c>
      <c r="B347" s="15" t="s">
        <v>2253</v>
      </c>
      <c r="C347" s="15" t="s">
        <v>2223</v>
      </c>
      <c r="D347" s="15" t="s">
        <v>49</v>
      </c>
      <c r="E347" s="13" t="s">
        <v>1161</v>
      </c>
      <c r="F347" s="13" t="s">
        <v>1161</v>
      </c>
      <c r="G347" s="13" t="s">
        <v>1162</v>
      </c>
      <c r="H347" s="138">
        <v>1</v>
      </c>
      <c r="I347" s="138">
        <v>0</v>
      </c>
      <c r="J347" s="138">
        <v>2</v>
      </c>
      <c r="K347" s="138">
        <v>0</v>
      </c>
      <c r="L347" s="138">
        <v>0</v>
      </c>
      <c r="M347" s="42" t="s">
        <v>2254</v>
      </c>
      <c r="N347" s="15"/>
      <c r="O347" s="100"/>
      <c r="P347" s="14" t="s">
        <v>1164</v>
      </c>
    </row>
    <row r="348" spans="1:16" ht="120">
      <c r="A348" s="13" t="s">
        <v>2255</v>
      </c>
      <c r="B348" s="15" t="s">
        <v>2256</v>
      </c>
      <c r="C348" s="15" t="s">
        <v>2223</v>
      </c>
      <c r="D348" s="15" t="s">
        <v>49</v>
      </c>
      <c r="E348" s="224"/>
      <c r="F348" s="224"/>
      <c r="G348" s="224"/>
      <c r="H348" s="138">
        <v>1</v>
      </c>
      <c r="I348" s="138">
        <v>0</v>
      </c>
      <c r="J348" s="138">
        <v>2</v>
      </c>
      <c r="K348" s="138">
        <v>0</v>
      </c>
      <c r="L348" s="138">
        <v>0</v>
      </c>
      <c r="M348" s="25" t="s">
        <v>2257</v>
      </c>
      <c r="N348" s="15"/>
      <c r="O348" s="100"/>
      <c r="P348" s="14" t="s">
        <v>1164</v>
      </c>
    </row>
    <row r="349" spans="1:16" ht="135">
      <c r="A349" s="13" t="s">
        <v>2258</v>
      </c>
      <c r="B349" s="15" t="s">
        <v>2259</v>
      </c>
      <c r="C349" s="15" t="s">
        <v>2260</v>
      </c>
      <c r="D349" s="15" t="s">
        <v>49</v>
      </c>
      <c r="E349" s="13" t="s">
        <v>1161</v>
      </c>
      <c r="F349" s="13" t="s">
        <v>1161</v>
      </c>
      <c r="G349" s="13" t="s">
        <v>1161</v>
      </c>
      <c r="H349" s="138">
        <v>3</v>
      </c>
      <c r="I349" s="138">
        <v>3</v>
      </c>
      <c r="J349" s="138">
        <v>0</v>
      </c>
      <c r="K349" s="138">
        <v>0</v>
      </c>
      <c r="L349" s="138">
        <v>0</v>
      </c>
      <c r="M349" s="42" t="s">
        <v>2261</v>
      </c>
      <c r="N349" s="15"/>
      <c r="O349" s="100"/>
      <c r="P349" s="14" t="s">
        <v>1164</v>
      </c>
    </row>
    <row r="350" spans="1:16" ht="180">
      <c r="A350" s="13" t="s">
        <v>2262</v>
      </c>
      <c r="B350" s="15" t="s">
        <v>2263</v>
      </c>
      <c r="C350" s="15" t="s">
        <v>2260</v>
      </c>
      <c r="D350" s="15" t="s">
        <v>49</v>
      </c>
      <c r="E350" s="13" t="s">
        <v>1161</v>
      </c>
      <c r="F350" s="13" t="s">
        <v>1161</v>
      </c>
      <c r="G350" s="13" t="s">
        <v>1161</v>
      </c>
      <c r="H350" s="138">
        <v>3</v>
      </c>
      <c r="I350" s="138">
        <v>3</v>
      </c>
      <c r="J350" s="138">
        <v>0</v>
      </c>
      <c r="K350" s="138">
        <v>0</v>
      </c>
      <c r="L350" s="138">
        <v>0</v>
      </c>
      <c r="M350" s="42" t="s">
        <v>2264</v>
      </c>
      <c r="N350" s="15"/>
      <c r="O350" s="100"/>
      <c r="P350" s="14" t="s">
        <v>1164</v>
      </c>
    </row>
    <row r="351" spans="1:16" ht="165">
      <c r="A351" s="13" t="s">
        <v>2265</v>
      </c>
      <c r="B351" s="15" t="s">
        <v>2266</v>
      </c>
      <c r="C351" s="15" t="s">
        <v>2267</v>
      </c>
      <c r="D351" s="15" t="s">
        <v>49</v>
      </c>
      <c r="E351" s="13" t="s">
        <v>1161</v>
      </c>
      <c r="F351" s="13" t="s">
        <v>1161</v>
      </c>
      <c r="G351" s="13" t="s">
        <v>1161</v>
      </c>
      <c r="H351" s="138">
        <v>3</v>
      </c>
      <c r="I351" s="138">
        <v>3</v>
      </c>
      <c r="J351" s="138">
        <v>0</v>
      </c>
      <c r="K351" s="138">
        <v>0</v>
      </c>
      <c r="L351" s="138">
        <v>0</v>
      </c>
      <c r="M351" s="42" t="s">
        <v>2268</v>
      </c>
      <c r="N351" s="15"/>
      <c r="O351" s="100"/>
      <c r="P351" s="14" t="s">
        <v>1164</v>
      </c>
    </row>
    <row r="352" spans="1:16" ht="150">
      <c r="A352" s="13" t="s">
        <v>2269</v>
      </c>
      <c r="B352" s="15" t="s">
        <v>2270</v>
      </c>
      <c r="C352" s="15" t="s">
        <v>2267</v>
      </c>
      <c r="D352" s="15" t="s">
        <v>49</v>
      </c>
      <c r="E352" s="13" t="s">
        <v>1161</v>
      </c>
      <c r="F352" s="13" t="s">
        <v>1161</v>
      </c>
      <c r="G352" s="13" t="s">
        <v>1161</v>
      </c>
      <c r="H352" s="138">
        <v>1</v>
      </c>
      <c r="I352" s="138">
        <v>0</v>
      </c>
      <c r="J352" s="138">
        <v>2</v>
      </c>
      <c r="K352" s="138">
        <v>0</v>
      </c>
      <c r="L352" s="138">
        <v>0</v>
      </c>
      <c r="M352" s="42" t="s">
        <v>2271</v>
      </c>
      <c r="N352" s="15"/>
      <c r="O352" s="259"/>
      <c r="P352" s="14" t="s">
        <v>1164</v>
      </c>
    </row>
    <row r="353" spans="1:16" ht="90">
      <c r="A353" s="13" t="s">
        <v>2272</v>
      </c>
      <c r="B353" s="15" t="s">
        <v>2273</v>
      </c>
      <c r="C353" s="15" t="s">
        <v>2267</v>
      </c>
      <c r="D353" s="15" t="s">
        <v>49</v>
      </c>
      <c r="E353" s="13" t="s">
        <v>1161</v>
      </c>
      <c r="F353" s="13" t="s">
        <v>1162</v>
      </c>
      <c r="G353" s="13" t="s">
        <v>1162</v>
      </c>
      <c r="H353" s="138">
        <v>4</v>
      </c>
      <c r="I353" s="138">
        <v>3</v>
      </c>
      <c r="J353" s="138">
        <v>2</v>
      </c>
      <c r="K353" s="138">
        <v>0</v>
      </c>
      <c r="L353" s="138">
        <v>0</v>
      </c>
      <c r="M353" s="15" t="s">
        <v>2274</v>
      </c>
      <c r="N353" s="15"/>
      <c r="O353" s="100"/>
      <c r="P353" s="14" t="s">
        <v>1164</v>
      </c>
    </row>
    <row r="354" spans="1:16" ht="180">
      <c r="A354" s="13" t="s">
        <v>2275</v>
      </c>
      <c r="B354" s="15" t="s">
        <v>2276</v>
      </c>
      <c r="C354" s="15" t="s">
        <v>2267</v>
      </c>
      <c r="D354" s="15" t="s">
        <v>49</v>
      </c>
      <c r="E354" s="13" t="s">
        <v>1161</v>
      </c>
      <c r="F354" s="13" t="s">
        <v>1162</v>
      </c>
      <c r="G354" s="13" t="s">
        <v>1162</v>
      </c>
      <c r="H354" s="138">
        <v>4</v>
      </c>
      <c r="I354" s="138">
        <v>3</v>
      </c>
      <c r="J354" s="138">
        <v>2</v>
      </c>
      <c r="K354" s="138">
        <v>0</v>
      </c>
      <c r="L354" s="138">
        <v>0</v>
      </c>
      <c r="M354" s="42" t="s">
        <v>2277</v>
      </c>
      <c r="N354" s="15"/>
      <c r="O354" s="100"/>
      <c r="P354" s="14" t="s">
        <v>1164</v>
      </c>
    </row>
    <row r="355" spans="1:16" ht="195">
      <c r="A355" s="13" t="s">
        <v>2278</v>
      </c>
      <c r="B355" s="15" t="s">
        <v>2279</v>
      </c>
      <c r="C355" s="15" t="s">
        <v>2267</v>
      </c>
      <c r="D355" s="15" t="s">
        <v>49</v>
      </c>
      <c r="E355" s="13" t="s">
        <v>1161</v>
      </c>
      <c r="F355" s="13" t="s">
        <v>1161</v>
      </c>
      <c r="G355" s="13" t="s">
        <v>1161</v>
      </c>
      <c r="H355" s="138">
        <v>4</v>
      </c>
      <c r="I355" s="138">
        <v>3</v>
      </c>
      <c r="J355" s="138">
        <v>2</v>
      </c>
      <c r="K355" s="138">
        <v>0</v>
      </c>
      <c r="L355" s="138">
        <v>0</v>
      </c>
      <c r="M355" s="42" t="s">
        <v>2280</v>
      </c>
      <c r="N355" s="15"/>
      <c r="O355" s="100"/>
      <c r="P355" s="14" t="s">
        <v>1164</v>
      </c>
    </row>
    <row r="356" spans="1:16" ht="195">
      <c r="A356" s="13" t="s">
        <v>2281</v>
      </c>
      <c r="B356" s="15" t="s">
        <v>2282</v>
      </c>
      <c r="C356" s="15" t="s">
        <v>2267</v>
      </c>
      <c r="D356" s="15" t="s">
        <v>49</v>
      </c>
      <c r="E356" s="13" t="s">
        <v>1162</v>
      </c>
      <c r="F356" s="13" t="s">
        <v>1161</v>
      </c>
      <c r="G356" s="13" t="s">
        <v>1162</v>
      </c>
      <c r="H356" s="138">
        <v>4</v>
      </c>
      <c r="I356" s="138">
        <v>3</v>
      </c>
      <c r="J356" s="138">
        <v>3</v>
      </c>
      <c r="K356" s="138">
        <v>0</v>
      </c>
      <c r="L356" s="138">
        <v>0</v>
      </c>
      <c r="M356" s="42" t="s">
        <v>2283</v>
      </c>
      <c r="N356" s="15"/>
      <c r="O356" s="100"/>
      <c r="P356" s="14" t="s">
        <v>1164</v>
      </c>
    </row>
    <row r="357" spans="1:16" ht="195">
      <c r="A357" s="13" t="s">
        <v>2284</v>
      </c>
      <c r="B357" s="15" t="s">
        <v>2285</v>
      </c>
      <c r="C357" s="15" t="s">
        <v>2267</v>
      </c>
      <c r="D357" s="15" t="s">
        <v>49</v>
      </c>
      <c r="E357" s="13" t="s">
        <v>1161</v>
      </c>
      <c r="F357" s="13" t="s">
        <v>1162</v>
      </c>
      <c r="G357" s="13" t="s">
        <v>1162</v>
      </c>
      <c r="H357" s="138">
        <v>4</v>
      </c>
      <c r="I357" s="138">
        <v>3</v>
      </c>
      <c r="J357" s="138">
        <v>3</v>
      </c>
      <c r="K357" s="138">
        <v>0</v>
      </c>
      <c r="L357" s="138">
        <v>0</v>
      </c>
      <c r="M357" s="42" t="s">
        <v>2286</v>
      </c>
      <c r="N357" s="15"/>
      <c r="O357" s="100"/>
      <c r="P357" s="14" t="s">
        <v>1164</v>
      </c>
    </row>
    <row r="358" spans="1:16" ht="120">
      <c r="A358" s="13" t="s">
        <v>2287</v>
      </c>
      <c r="B358" s="15" t="s">
        <v>2288</v>
      </c>
      <c r="C358" s="15" t="s">
        <v>2289</v>
      </c>
      <c r="D358" s="15" t="s">
        <v>49</v>
      </c>
      <c r="E358" s="13" t="s">
        <v>1161</v>
      </c>
      <c r="F358" s="13" t="s">
        <v>1162</v>
      </c>
      <c r="G358" s="13" t="s">
        <v>1162</v>
      </c>
      <c r="H358" s="138">
        <v>3</v>
      </c>
      <c r="I358" s="138">
        <v>3</v>
      </c>
      <c r="J358" s="138">
        <v>0</v>
      </c>
      <c r="K358" s="138">
        <v>0</v>
      </c>
      <c r="L358" s="138">
        <v>0</v>
      </c>
      <c r="M358" s="15" t="s">
        <v>2290</v>
      </c>
      <c r="N358" s="15"/>
      <c r="O358" s="100"/>
      <c r="P358" s="14" t="s">
        <v>1164</v>
      </c>
    </row>
    <row r="359" spans="1:16" ht="105">
      <c r="A359" s="13" t="s">
        <v>2291</v>
      </c>
      <c r="B359" s="15" t="s">
        <v>2292</v>
      </c>
      <c r="C359" s="15" t="s">
        <v>2289</v>
      </c>
      <c r="D359" s="15" t="s">
        <v>49</v>
      </c>
      <c r="E359" s="224"/>
      <c r="F359" s="224"/>
      <c r="G359" s="224"/>
      <c r="H359" s="138">
        <v>3</v>
      </c>
      <c r="I359" s="138">
        <v>2</v>
      </c>
      <c r="J359" s="138">
        <v>2</v>
      </c>
      <c r="K359" s="138">
        <v>0</v>
      </c>
      <c r="L359" s="138">
        <v>0</v>
      </c>
      <c r="M359" s="15" t="s">
        <v>2293</v>
      </c>
      <c r="N359" s="15"/>
      <c r="O359" s="100"/>
      <c r="P359" s="14" t="s">
        <v>1164</v>
      </c>
    </row>
    <row r="360" spans="1:16" ht="120">
      <c r="A360" s="13" t="s">
        <v>2294</v>
      </c>
      <c r="B360" s="15" t="s">
        <v>2295</v>
      </c>
      <c r="C360" s="15" t="s">
        <v>2289</v>
      </c>
      <c r="D360" s="15" t="s">
        <v>49</v>
      </c>
      <c r="E360" s="224"/>
      <c r="F360" s="224"/>
      <c r="G360" s="224"/>
      <c r="H360" s="138">
        <v>3</v>
      </c>
      <c r="I360" s="138">
        <v>3</v>
      </c>
      <c r="J360" s="138">
        <v>0</v>
      </c>
      <c r="K360" s="138">
        <v>0</v>
      </c>
      <c r="L360" s="138">
        <v>0</v>
      </c>
      <c r="M360" s="15" t="s">
        <v>2296</v>
      </c>
      <c r="N360" s="15"/>
      <c r="O360" s="100"/>
      <c r="P360" s="14" t="s">
        <v>1164</v>
      </c>
    </row>
    <row r="361" spans="1:16" ht="180">
      <c r="A361" s="13" t="s">
        <v>2297</v>
      </c>
      <c r="B361" s="15" t="s">
        <v>2298</v>
      </c>
      <c r="C361" s="15" t="s">
        <v>2299</v>
      </c>
      <c r="D361" s="15" t="s">
        <v>49</v>
      </c>
      <c r="E361" s="13" t="s">
        <v>1161</v>
      </c>
      <c r="F361" s="13" t="s">
        <v>1162</v>
      </c>
      <c r="G361" s="13" t="s">
        <v>1162</v>
      </c>
      <c r="H361" s="138">
        <v>3</v>
      </c>
      <c r="I361" s="138">
        <v>3</v>
      </c>
      <c r="J361" s="138">
        <v>0</v>
      </c>
      <c r="K361" s="138">
        <v>0</v>
      </c>
      <c r="L361" s="138">
        <v>0</v>
      </c>
      <c r="M361" s="42" t="s">
        <v>2300</v>
      </c>
      <c r="N361" s="15"/>
      <c r="O361" s="100"/>
      <c r="P361" s="14" t="s">
        <v>1164</v>
      </c>
    </row>
    <row r="362" spans="1:16" ht="165">
      <c r="A362" s="13" t="s">
        <v>2301</v>
      </c>
      <c r="B362" s="15" t="s">
        <v>2302</v>
      </c>
      <c r="C362" s="15" t="s">
        <v>2303</v>
      </c>
      <c r="D362" s="15" t="s">
        <v>49</v>
      </c>
      <c r="E362" s="13" t="s">
        <v>1161</v>
      </c>
      <c r="F362" s="13" t="s">
        <v>1161</v>
      </c>
      <c r="G362" s="13" t="s">
        <v>1161</v>
      </c>
      <c r="H362" s="138">
        <v>3</v>
      </c>
      <c r="I362" s="138">
        <v>3</v>
      </c>
      <c r="J362" s="138">
        <v>0</v>
      </c>
      <c r="K362" s="138">
        <v>0</v>
      </c>
      <c r="L362" s="138">
        <v>0</v>
      </c>
      <c r="M362" s="42" t="s">
        <v>2304</v>
      </c>
      <c r="N362" s="15"/>
      <c r="O362" s="100"/>
      <c r="P362" s="14" t="s">
        <v>1164</v>
      </c>
    </row>
    <row r="363" spans="1:16" ht="150">
      <c r="A363" s="13" t="s">
        <v>2305</v>
      </c>
      <c r="B363" s="15" t="s">
        <v>2306</v>
      </c>
      <c r="C363" s="15" t="s">
        <v>2303</v>
      </c>
      <c r="D363" s="15" t="s">
        <v>49</v>
      </c>
      <c r="E363" s="13" t="s">
        <v>1161</v>
      </c>
      <c r="F363" s="13" t="s">
        <v>1161</v>
      </c>
      <c r="G363" s="13" t="s">
        <v>1161</v>
      </c>
      <c r="H363" s="138">
        <v>3</v>
      </c>
      <c r="I363" s="138">
        <v>3</v>
      </c>
      <c r="J363" s="138">
        <v>0</v>
      </c>
      <c r="K363" s="138">
        <v>0</v>
      </c>
      <c r="L363" s="138">
        <v>0</v>
      </c>
      <c r="M363" s="42" t="s">
        <v>2307</v>
      </c>
      <c r="N363" s="15"/>
      <c r="O363" s="100"/>
      <c r="P363" s="14" t="s">
        <v>1164</v>
      </c>
    </row>
    <row r="364" spans="1:16" ht="180">
      <c r="A364" s="13" t="s">
        <v>2308</v>
      </c>
      <c r="B364" s="15" t="s">
        <v>2309</v>
      </c>
      <c r="C364" s="15" t="s">
        <v>2303</v>
      </c>
      <c r="D364" s="15" t="s">
        <v>49</v>
      </c>
      <c r="E364" s="13" t="s">
        <v>1161</v>
      </c>
      <c r="F364" s="13" t="s">
        <v>1161</v>
      </c>
      <c r="G364" s="13" t="s">
        <v>1161</v>
      </c>
      <c r="H364" s="138">
        <v>3</v>
      </c>
      <c r="I364" s="138">
        <v>3</v>
      </c>
      <c r="J364" s="138">
        <v>0</v>
      </c>
      <c r="K364" s="138">
        <v>0</v>
      </c>
      <c r="L364" s="138">
        <v>0</v>
      </c>
      <c r="M364" s="42" t="s">
        <v>2310</v>
      </c>
      <c r="N364" s="15"/>
      <c r="O364" s="100"/>
      <c r="P364" s="14" t="s">
        <v>1164</v>
      </c>
    </row>
    <row r="365" spans="1:16" ht="120">
      <c r="A365" s="13" t="s">
        <v>2311</v>
      </c>
      <c r="B365" s="15" t="s">
        <v>2312</v>
      </c>
      <c r="C365" s="15" t="s">
        <v>2313</v>
      </c>
      <c r="D365" s="15" t="s">
        <v>49</v>
      </c>
      <c r="E365" s="13" t="s">
        <v>1161</v>
      </c>
      <c r="F365" s="13" t="s">
        <v>1162</v>
      </c>
      <c r="G365" s="13" t="s">
        <v>1162</v>
      </c>
      <c r="H365" s="138">
        <v>3</v>
      </c>
      <c r="I365" s="138">
        <v>3</v>
      </c>
      <c r="J365" s="138">
        <v>0</v>
      </c>
      <c r="K365" s="138">
        <v>0</v>
      </c>
      <c r="L365" s="138">
        <v>0</v>
      </c>
      <c r="M365" s="42" t="s">
        <v>2314</v>
      </c>
      <c r="N365" s="15"/>
      <c r="O365" s="100"/>
      <c r="P365" s="14" t="s">
        <v>1164</v>
      </c>
    </row>
    <row r="366" spans="1:16" ht="135">
      <c r="A366" s="13" t="s">
        <v>2315</v>
      </c>
      <c r="B366" s="15" t="s">
        <v>2316</v>
      </c>
      <c r="C366" s="15" t="s">
        <v>2313</v>
      </c>
      <c r="D366" s="15" t="s">
        <v>49</v>
      </c>
      <c r="E366" s="13" t="s">
        <v>1161</v>
      </c>
      <c r="F366" s="13" t="s">
        <v>1162</v>
      </c>
      <c r="G366" s="13" t="s">
        <v>1161</v>
      </c>
      <c r="H366" s="138">
        <v>3</v>
      </c>
      <c r="I366" s="138">
        <v>3</v>
      </c>
      <c r="J366" s="138">
        <v>0</v>
      </c>
      <c r="K366" s="138">
        <v>0</v>
      </c>
      <c r="L366" s="138">
        <v>0</v>
      </c>
      <c r="M366" s="42" t="s">
        <v>2317</v>
      </c>
      <c r="N366" s="15"/>
      <c r="O366" s="100"/>
      <c r="P366" s="14" t="s">
        <v>1164</v>
      </c>
    </row>
    <row r="367" spans="1:16" ht="150">
      <c r="A367" s="13" t="s">
        <v>2318</v>
      </c>
      <c r="B367" s="15" t="s">
        <v>2319</v>
      </c>
      <c r="C367" s="15" t="s">
        <v>2313</v>
      </c>
      <c r="D367" s="15" t="s">
        <v>49</v>
      </c>
      <c r="E367" s="13" t="s">
        <v>1162</v>
      </c>
      <c r="F367" s="13" t="s">
        <v>1161</v>
      </c>
      <c r="G367" s="13" t="s">
        <v>1161</v>
      </c>
      <c r="H367" s="138">
        <v>3</v>
      </c>
      <c r="I367" s="138">
        <v>3</v>
      </c>
      <c r="J367" s="138">
        <v>0</v>
      </c>
      <c r="K367" s="138">
        <v>0</v>
      </c>
      <c r="L367" s="138">
        <v>0</v>
      </c>
      <c r="M367" s="42" t="s">
        <v>2320</v>
      </c>
      <c r="N367" s="15"/>
      <c r="O367" s="100"/>
      <c r="P367" s="14" t="s">
        <v>1164</v>
      </c>
    </row>
    <row r="368" spans="1:16" ht="76.5">
      <c r="A368" s="13" t="s">
        <v>2321</v>
      </c>
      <c r="B368" s="15" t="s">
        <v>2322</v>
      </c>
      <c r="C368" s="15" t="s">
        <v>2323</v>
      </c>
      <c r="D368" s="15" t="s">
        <v>49</v>
      </c>
      <c r="E368" s="13" t="s">
        <v>1161</v>
      </c>
      <c r="F368" s="13" t="s">
        <v>1162</v>
      </c>
      <c r="G368" s="13" t="s">
        <v>1162</v>
      </c>
      <c r="H368" s="138">
        <v>3</v>
      </c>
      <c r="I368" s="138">
        <v>3</v>
      </c>
      <c r="J368" s="138">
        <v>0</v>
      </c>
      <c r="K368" s="138">
        <v>0</v>
      </c>
      <c r="L368" s="138">
        <v>0</v>
      </c>
      <c r="M368" s="15" t="s">
        <v>2324</v>
      </c>
      <c r="N368" s="15"/>
      <c r="O368" s="100"/>
      <c r="P368" s="14" t="s">
        <v>1164</v>
      </c>
    </row>
    <row r="369" spans="1:16" ht="90">
      <c r="A369" s="13" t="s">
        <v>2325</v>
      </c>
      <c r="B369" s="15" t="s">
        <v>2326</v>
      </c>
      <c r="C369" s="15" t="s">
        <v>2323</v>
      </c>
      <c r="D369" s="15" t="s">
        <v>49</v>
      </c>
      <c r="E369" s="13" t="s">
        <v>1162</v>
      </c>
      <c r="F369" s="13" t="s">
        <v>1161</v>
      </c>
      <c r="G369" s="13" t="s">
        <v>1162</v>
      </c>
      <c r="H369" s="138">
        <v>3</v>
      </c>
      <c r="I369" s="138">
        <v>3</v>
      </c>
      <c r="J369" s="138">
        <v>0</v>
      </c>
      <c r="K369" s="138">
        <v>0</v>
      </c>
      <c r="L369" s="138">
        <v>0</v>
      </c>
      <c r="M369" s="15" t="s">
        <v>2327</v>
      </c>
      <c r="N369" s="15"/>
      <c r="O369" s="100"/>
      <c r="P369" s="14" t="s">
        <v>1164</v>
      </c>
    </row>
    <row r="370" spans="1:16" ht="75">
      <c r="A370" s="13" t="s">
        <v>2328</v>
      </c>
      <c r="B370" s="15" t="s">
        <v>2329</v>
      </c>
      <c r="C370" s="15" t="s">
        <v>2323</v>
      </c>
      <c r="D370" s="15" t="s">
        <v>49</v>
      </c>
      <c r="E370" s="13" t="s">
        <v>1161</v>
      </c>
      <c r="F370" s="13" t="s">
        <v>1162</v>
      </c>
      <c r="G370" s="13" t="s">
        <v>1162</v>
      </c>
      <c r="H370" s="138">
        <v>3</v>
      </c>
      <c r="I370" s="138">
        <v>2</v>
      </c>
      <c r="J370" s="138">
        <v>2</v>
      </c>
      <c r="K370" s="138">
        <v>0</v>
      </c>
      <c r="L370" s="138">
        <v>0</v>
      </c>
      <c r="M370" s="15" t="s">
        <v>2330</v>
      </c>
      <c r="N370" s="15"/>
      <c r="O370" s="100"/>
      <c r="P370" s="14" t="s">
        <v>1164</v>
      </c>
    </row>
    <row r="371" spans="1:16" ht="90">
      <c r="A371" s="13" t="s">
        <v>2331</v>
      </c>
      <c r="B371" s="15" t="s">
        <v>2332</v>
      </c>
      <c r="C371" s="15" t="s">
        <v>2323</v>
      </c>
      <c r="D371" s="15" t="s">
        <v>49</v>
      </c>
      <c r="E371" s="13" t="s">
        <v>1161</v>
      </c>
      <c r="F371" s="13" t="s">
        <v>1162</v>
      </c>
      <c r="G371" s="13" t="s">
        <v>1162</v>
      </c>
      <c r="H371" s="138">
        <v>3</v>
      </c>
      <c r="I371" s="138">
        <v>3</v>
      </c>
      <c r="J371" s="138">
        <v>0</v>
      </c>
      <c r="K371" s="138">
        <v>0</v>
      </c>
      <c r="L371" s="138">
        <v>0</v>
      </c>
      <c r="M371" s="15" t="s">
        <v>2333</v>
      </c>
      <c r="N371" s="15"/>
      <c r="O371" s="100"/>
      <c r="P371" s="14" t="s">
        <v>1164</v>
      </c>
    </row>
    <row r="372" spans="1:16" ht="105">
      <c r="A372" s="13" t="s">
        <v>2334</v>
      </c>
      <c r="B372" s="15" t="s">
        <v>2335</v>
      </c>
      <c r="C372" s="15" t="s">
        <v>2323</v>
      </c>
      <c r="D372" s="15" t="s">
        <v>49</v>
      </c>
      <c r="E372" s="13" t="s">
        <v>1162</v>
      </c>
      <c r="F372" s="13" t="s">
        <v>1161</v>
      </c>
      <c r="G372" s="13" t="s">
        <v>1162</v>
      </c>
      <c r="H372" s="138">
        <v>3</v>
      </c>
      <c r="I372" s="138">
        <v>2</v>
      </c>
      <c r="J372" s="138">
        <v>2</v>
      </c>
      <c r="K372" s="138">
        <v>0</v>
      </c>
      <c r="L372" s="138">
        <v>0</v>
      </c>
      <c r="M372" s="15" t="s">
        <v>2336</v>
      </c>
      <c r="N372" s="15"/>
      <c r="O372" s="100"/>
      <c r="P372" s="14" t="s">
        <v>1164</v>
      </c>
    </row>
    <row r="373" spans="1:16" ht="90">
      <c r="A373" s="13" t="s">
        <v>2337</v>
      </c>
      <c r="B373" s="15" t="s">
        <v>2338</v>
      </c>
      <c r="C373" s="15" t="s">
        <v>2323</v>
      </c>
      <c r="D373" s="15" t="s">
        <v>49</v>
      </c>
      <c r="E373" s="13" t="s">
        <v>1162</v>
      </c>
      <c r="F373" s="13" t="s">
        <v>1161</v>
      </c>
      <c r="G373" s="13" t="s">
        <v>1162</v>
      </c>
      <c r="H373" s="138">
        <v>3</v>
      </c>
      <c r="I373" s="138">
        <v>3</v>
      </c>
      <c r="J373" s="138">
        <v>0</v>
      </c>
      <c r="K373" s="138">
        <v>0</v>
      </c>
      <c r="L373" s="138">
        <v>0</v>
      </c>
      <c r="M373" s="15" t="s">
        <v>2339</v>
      </c>
      <c r="N373" s="15"/>
      <c r="O373" s="100"/>
      <c r="P373" s="14" t="s">
        <v>1164</v>
      </c>
    </row>
    <row r="374" spans="1:16" ht="105">
      <c r="A374" s="13" t="s">
        <v>2340</v>
      </c>
      <c r="B374" s="15" t="s">
        <v>2341</v>
      </c>
      <c r="C374" s="15" t="s">
        <v>2342</v>
      </c>
      <c r="D374" s="15" t="s">
        <v>49</v>
      </c>
      <c r="E374" s="13" t="s">
        <v>1162</v>
      </c>
      <c r="F374" s="13" t="s">
        <v>1161</v>
      </c>
      <c r="G374" s="13" t="s">
        <v>1162</v>
      </c>
      <c r="H374" s="138">
        <v>3</v>
      </c>
      <c r="I374" s="138">
        <v>2</v>
      </c>
      <c r="J374" s="138">
        <v>2</v>
      </c>
      <c r="K374" s="138">
        <v>0</v>
      </c>
      <c r="L374" s="138">
        <v>0</v>
      </c>
      <c r="M374" s="15" t="s">
        <v>2343</v>
      </c>
      <c r="N374" s="15"/>
      <c r="O374" s="100"/>
      <c r="P374" s="14" t="s">
        <v>1164</v>
      </c>
    </row>
    <row r="375" spans="1:16" ht="90">
      <c r="A375" s="13" t="s">
        <v>2344</v>
      </c>
      <c r="B375" s="15" t="s">
        <v>2345</v>
      </c>
      <c r="C375" s="15" t="s">
        <v>2342</v>
      </c>
      <c r="D375" s="15" t="s">
        <v>49</v>
      </c>
      <c r="E375" s="13" t="s">
        <v>1161</v>
      </c>
      <c r="F375" s="13" t="s">
        <v>1162</v>
      </c>
      <c r="G375" s="13" t="s">
        <v>1161</v>
      </c>
      <c r="H375" s="138">
        <v>3</v>
      </c>
      <c r="I375" s="138">
        <v>2</v>
      </c>
      <c r="J375" s="138">
        <v>2</v>
      </c>
      <c r="K375" s="138">
        <v>0</v>
      </c>
      <c r="L375" s="138">
        <v>0</v>
      </c>
      <c r="M375" s="15" t="s">
        <v>2346</v>
      </c>
      <c r="N375" s="15"/>
      <c r="O375" s="100"/>
      <c r="P375" s="14" t="s">
        <v>1164</v>
      </c>
    </row>
    <row r="376" spans="1:16" ht="180">
      <c r="A376" s="13" t="s">
        <v>2347</v>
      </c>
      <c r="B376" s="15" t="s">
        <v>2348</v>
      </c>
      <c r="C376" s="15" t="s">
        <v>2349</v>
      </c>
      <c r="D376" s="15" t="s">
        <v>49</v>
      </c>
      <c r="E376" s="13" t="s">
        <v>1161</v>
      </c>
      <c r="F376" s="13" t="s">
        <v>1161</v>
      </c>
      <c r="G376" s="13" t="s">
        <v>1161</v>
      </c>
      <c r="H376" s="138">
        <v>3</v>
      </c>
      <c r="I376" s="138">
        <v>3</v>
      </c>
      <c r="J376" s="138">
        <v>0</v>
      </c>
      <c r="K376" s="138">
        <v>0</v>
      </c>
      <c r="L376" s="138">
        <v>0</v>
      </c>
      <c r="M376" s="42" t="s">
        <v>2350</v>
      </c>
      <c r="N376" s="15"/>
      <c r="O376" s="100"/>
      <c r="P376" s="14" t="s">
        <v>1164</v>
      </c>
    </row>
    <row r="377" spans="1:16" ht="165">
      <c r="A377" s="13" t="s">
        <v>2351</v>
      </c>
      <c r="B377" s="15" t="s">
        <v>2352</v>
      </c>
      <c r="C377" s="15" t="s">
        <v>2349</v>
      </c>
      <c r="D377" s="15" t="s">
        <v>49</v>
      </c>
      <c r="E377" s="13" t="s">
        <v>1161</v>
      </c>
      <c r="F377" s="13" t="s">
        <v>1162</v>
      </c>
      <c r="G377" s="13" t="s">
        <v>1162</v>
      </c>
      <c r="H377" s="138">
        <v>3</v>
      </c>
      <c r="I377" s="138">
        <v>3</v>
      </c>
      <c r="J377" s="138">
        <v>0</v>
      </c>
      <c r="K377" s="138">
        <v>0</v>
      </c>
      <c r="L377" s="138">
        <v>0</v>
      </c>
      <c r="M377" s="42" t="s">
        <v>2353</v>
      </c>
      <c r="N377" s="15"/>
      <c r="O377" s="100"/>
      <c r="P377" s="14" t="s">
        <v>1164</v>
      </c>
    </row>
    <row r="378" spans="1:16" ht="150">
      <c r="A378" s="13" t="s">
        <v>2354</v>
      </c>
      <c r="B378" s="15" t="s">
        <v>2355</v>
      </c>
      <c r="C378" s="15" t="s">
        <v>2349</v>
      </c>
      <c r="D378" s="15" t="s">
        <v>49</v>
      </c>
      <c r="E378" s="13" t="s">
        <v>1162</v>
      </c>
      <c r="F378" s="13" t="s">
        <v>1161</v>
      </c>
      <c r="G378" s="13" t="s">
        <v>1162</v>
      </c>
      <c r="H378" s="138">
        <v>3</v>
      </c>
      <c r="I378" s="138">
        <v>3</v>
      </c>
      <c r="J378" s="138">
        <v>0</v>
      </c>
      <c r="K378" s="138">
        <v>0</v>
      </c>
      <c r="L378" s="138">
        <v>0</v>
      </c>
      <c r="M378" s="42" t="s">
        <v>2356</v>
      </c>
      <c r="N378" s="15"/>
      <c r="O378" s="259"/>
      <c r="P378" s="14" t="s">
        <v>1164</v>
      </c>
    </row>
    <row r="379" spans="1:16" ht="150">
      <c r="A379" s="13" t="s">
        <v>2357</v>
      </c>
      <c r="B379" s="15" t="s">
        <v>2358</v>
      </c>
      <c r="C379" s="15" t="s">
        <v>2349</v>
      </c>
      <c r="D379" s="15" t="s">
        <v>49</v>
      </c>
      <c r="E379" s="13" t="s">
        <v>1162</v>
      </c>
      <c r="F379" s="13" t="s">
        <v>1161</v>
      </c>
      <c r="G379" s="13" t="s">
        <v>1162</v>
      </c>
      <c r="H379" s="138">
        <v>3</v>
      </c>
      <c r="I379" s="138">
        <v>3</v>
      </c>
      <c r="J379" s="138">
        <v>0</v>
      </c>
      <c r="K379" s="138">
        <v>0</v>
      </c>
      <c r="L379" s="138">
        <v>0</v>
      </c>
      <c r="M379" s="42" t="s">
        <v>2359</v>
      </c>
      <c r="N379" s="15"/>
      <c r="O379" s="259"/>
      <c r="P379" s="14" t="s">
        <v>1164</v>
      </c>
    </row>
    <row r="380" spans="1:16" ht="165">
      <c r="A380" s="13" t="s">
        <v>2360</v>
      </c>
      <c r="B380" s="15" t="s">
        <v>2361</v>
      </c>
      <c r="C380" s="15" t="s">
        <v>2349</v>
      </c>
      <c r="D380" s="15" t="s">
        <v>49</v>
      </c>
      <c r="E380" s="13" t="s">
        <v>1162</v>
      </c>
      <c r="F380" s="13" t="s">
        <v>1162</v>
      </c>
      <c r="G380" s="13" t="s">
        <v>1161</v>
      </c>
      <c r="H380" s="138">
        <v>3</v>
      </c>
      <c r="I380" s="138">
        <v>3</v>
      </c>
      <c r="J380" s="138">
        <v>0</v>
      </c>
      <c r="K380" s="138">
        <v>0</v>
      </c>
      <c r="L380" s="138">
        <v>0</v>
      </c>
      <c r="M380" s="42" t="s">
        <v>2362</v>
      </c>
      <c r="N380" s="15"/>
      <c r="O380" s="259"/>
      <c r="P380" s="14" t="s">
        <v>1164</v>
      </c>
    </row>
    <row r="381" spans="1:16" ht="135">
      <c r="A381" s="13" t="s">
        <v>2363</v>
      </c>
      <c r="B381" s="15" t="s">
        <v>2364</v>
      </c>
      <c r="C381" s="15" t="s">
        <v>2365</v>
      </c>
      <c r="D381" s="15" t="s">
        <v>49</v>
      </c>
      <c r="E381" s="13" t="s">
        <v>1161</v>
      </c>
      <c r="F381" s="13" t="s">
        <v>1161</v>
      </c>
      <c r="G381" s="13" t="s">
        <v>1161</v>
      </c>
      <c r="H381" s="138">
        <v>3</v>
      </c>
      <c r="I381" s="138">
        <v>3</v>
      </c>
      <c r="J381" s="138">
        <v>0</v>
      </c>
      <c r="K381" s="138">
        <v>0</v>
      </c>
      <c r="L381" s="138">
        <v>0</v>
      </c>
      <c r="M381" s="42" t="s">
        <v>2366</v>
      </c>
      <c r="N381" s="15"/>
      <c r="O381" s="259"/>
      <c r="P381" s="14" t="s">
        <v>1164</v>
      </c>
    </row>
    <row r="382" spans="1:16" ht="150">
      <c r="A382" s="13" t="s">
        <v>2367</v>
      </c>
      <c r="B382" s="15" t="s">
        <v>2368</v>
      </c>
      <c r="C382" s="15" t="s">
        <v>2365</v>
      </c>
      <c r="D382" s="15" t="s">
        <v>49</v>
      </c>
      <c r="E382" s="13" t="s">
        <v>1161</v>
      </c>
      <c r="F382" s="13" t="s">
        <v>1161</v>
      </c>
      <c r="G382" s="13" t="s">
        <v>1161</v>
      </c>
      <c r="H382" s="138">
        <v>3</v>
      </c>
      <c r="I382" s="138">
        <v>3</v>
      </c>
      <c r="J382" s="138">
        <v>0</v>
      </c>
      <c r="K382" s="138">
        <v>0</v>
      </c>
      <c r="L382" s="138">
        <v>0</v>
      </c>
      <c r="M382" s="42" t="s">
        <v>2369</v>
      </c>
      <c r="N382" s="15"/>
      <c r="O382" s="259"/>
      <c r="P382" s="14" t="s">
        <v>1164</v>
      </c>
    </row>
    <row r="383" spans="1:16" ht="165">
      <c r="A383" s="13" t="s">
        <v>2370</v>
      </c>
      <c r="B383" s="15" t="s">
        <v>2371</v>
      </c>
      <c r="C383" s="15" t="s">
        <v>2365</v>
      </c>
      <c r="D383" s="15" t="s">
        <v>49</v>
      </c>
      <c r="E383" s="13" t="s">
        <v>1161</v>
      </c>
      <c r="F383" s="13" t="s">
        <v>1161</v>
      </c>
      <c r="G383" s="13" t="s">
        <v>1161</v>
      </c>
      <c r="H383" s="138">
        <v>3</v>
      </c>
      <c r="I383" s="138">
        <v>3</v>
      </c>
      <c r="J383" s="138">
        <v>0</v>
      </c>
      <c r="K383" s="138">
        <v>0</v>
      </c>
      <c r="L383" s="138">
        <v>0</v>
      </c>
      <c r="M383" s="42" t="s">
        <v>2372</v>
      </c>
      <c r="N383" s="15"/>
      <c r="O383" s="259"/>
      <c r="P383" s="14" t="s">
        <v>1164</v>
      </c>
    </row>
    <row r="384" spans="1:16" ht="150">
      <c r="A384" s="13" t="s">
        <v>2373</v>
      </c>
      <c r="B384" s="15" t="s">
        <v>2374</v>
      </c>
      <c r="C384" s="15" t="s">
        <v>2365</v>
      </c>
      <c r="D384" s="15" t="s">
        <v>49</v>
      </c>
      <c r="E384" s="13" t="s">
        <v>1162</v>
      </c>
      <c r="F384" s="13" t="s">
        <v>1161</v>
      </c>
      <c r="G384" s="13" t="s">
        <v>1161</v>
      </c>
      <c r="H384" s="138">
        <v>3</v>
      </c>
      <c r="I384" s="138">
        <v>3</v>
      </c>
      <c r="J384" s="138">
        <v>0</v>
      </c>
      <c r="K384" s="138">
        <v>0</v>
      </c>
      <c r="L384" s="138">
        <v>0</v>
      </c>
      <c r="M384" s="42" t="s">
        <v>2375</v>
      </c>
      <c r="N384" s="15"/>
      <c r="O384" s="259"/>
      <c r="P384" s="14" t="s">
        <v>1164</v>
      </c>
    </row>
    <row r="385" spans="1:16" ht="105">
      <c r="A385" s="13" t="s">
        <v>2376</v>
      </c>
      <c r="B385" s="15" t="s">
        <v>2377</v>
      </c>
      <c r="C385" s="15" t="s">
        <v>2378</v>
      </c>
      <c r="D385" s="15" t="s">
        <v>49</v>
      </c>
      <c r="E385" s="13" t="s">
        <v>1161</v>
      </c>
      <c r="F385" s="13" t="s">
        <v>1162</v>
      </c>
      <c r="G385" s="13" t="s">
        <v>1162</v>
      </c>
      <c r="H385" s="138">
        <v>3</v>
      </c>
      <c r="I385" s="138">
        <v>3</v>
      </c>
      <c r="J385" s="138">
        <v>0</v>
      </c>
      <c r="K385" s="138">
        <v>0</v>
      </c>
      <c r="L385" s="138">
        <v>0</v>
      </c>
      <c r="M385" s="15" t="s">
        <v>2379</v>
      </c>
      <c r="N385" s="15"/>
      <c r="O385" s="100"/>
      <c r="P385" s="14" t="s">
        <v>1164</v>
      </c>
    </row>
    <row r="386" spans="1:16" ht="75">
      <c r="A386" s="13" t="s">
        <v>2380</v>
      </c>
      <c r="B386" s="15" t="s">
        <v>2381</v>
      </c>
      <c r="C386" s="15" t="s">
        <v>2378</v>
      </c>
      <c r="D386" s="15" t="s">
        <v>49</v>
      </c>
      <c r="E386" s="13" t="s">
        <v>1162</v>
      </c>
      <c r="F386" s="13" t="s">
        <v>1161</v>
      </c>
      <c r="G386" s="13" t="s">
        <v>1162</v>
      </c>
      <c r="H386" s="138">
        <v>3</v>
      </c>
      <c r="I386" s="138">
        <v>3</v>
      </c>
      <c r="J386" s="138">
        <v>0</v>
      </c>
      <c r="K386" s="138">
        <v>0</v>
      </c>
      <c r="L386" s="138">
        <v>0</v>
      </c>
      <c r="M386" s="15" t="s">
        <v>2382</v>
      </c>
      <c r="N386" s="15"/>
      <c r="O386" s="100"/>
      <c r="P386" s="14" t="s">
        <v>1164</v>
      </c>
    </row>
    <row r="387" spans="1:16" ht="75">
      <c r="A387" s="13" t="s">
        <v>2383</v>
      </c>
      <c r="B387" s="15" t="s">
        <v>2384</v>
      </c>
      <c r="C387" s="15" t="s">
        <v>2378</v>
      </c>
      <c r="D387" s="15" t="s">
        <v>49</v>
      </c>
      <c r="E387" s="13" t="s">
        <v>1161</v>
      </c>
      <c r="F387" s="13" t="s">
        <v>1162</v>
      </c>
      <c r="G387" s="13" t="s">
        <v>1162</v>
      </c>
      <c r="H387" s="138">
        <v>3</v>
      </c>
      <c r="I387" s="138">
        <v>2</v>
      </c>
      <c r="J387" s="138">
        <v>2</v>
      </c>
      <c r="K387" s="138">
        <v>0</v>
      </c>
      <c r="L387" s="138">
        <v>0</v>
      </c>
      <c r="M387" s="15" t="s">
        <v>2385</v>
      </c>
      <c r="N387" s="15"/>
      <c r="O387" s="100"/>
      <c r="P387" s="14" t="s">
        <v>1164</v>
      </c>
    </row>
    <row r="388" spans="1:16" ht="90">
      <c r="A388" s="13" t="s">
        <v>2386</v>
      </c>
      <c r="B388" s="15" t="s">
        <v>2387</v>
      </c>
      <c r="C388" s="15" t="s">
        <v>2378</v>
      </c>
      <c r="D388" s="15" t="s">
        <v>49</v>
      </c>
      <c r="E388" s="13" t="s">
        <v>1161</v>
      </c>
      <c r="F388" s="13" t="s">
        <v>1162</v>
      </c>
      <c r="G388" s="13" t="s">
        <v>1162</v>
      </c>
      <c r="H388" s="138">
        <v>3</v>
      </c>
      <c r="I388" s="138">
        <v>3</v>
      </c>
      <c r="J388" s="138">
        <v>0</v>
      </c>
      <c r="K388" s="138">
        <v>0</v>
      </c>
      <c r="L388" s="138">
        <v>0</v>
      </c>
      <c r="M388" s="15" t="s">
        <v>2388</v>
      </c>
      <c r="N388" s="15"/>
      <c r="O388" s="100"/>
      <c r="P388" s="14" t="s">
        <v>1164</v>
      </c>
    </row>
    <row r="389" spans="1:16" ht="90">
      <c r="A389" s="13" t="s">
        <v>2389</v>
      </c>
      <c r="B389" s="15" t="s">
        <v>2390</v>
      </c>
      <c r="C389" s="15" t="s">
        <v>2378</v>
      </c>
      <c r="D389" s="15" t="s">
        <v>49</v>
      </c>
      <c r="E389" s="13" t="s">
        <v>1162</v>
      </c>
      <c r="F389" s="13" t="s">
        <v>1161</v>
      </c>
      <c r="G389" s="13" t="s">
        <v>1162</v>
      </c>
      <c r="H389" s="138">
        <v>3</v>
      </c>
      <c r="I389" s="138">
        <v>3</v>
      </c>
      <c r="J389" s="138">
        <v>0</v>
      </c>
      <c r="K389" s="138">
        <v>0</v>
      </c>
      <c r="L389" s="138">
        <v>0</v>
      </c>
      <c r="M389" s="15" t="s">
        <v>2391</v>
      </c>
      <c r="N389" s="15"/>
      <c r="O389" s="100"/>
      <c r="P389" s="14" t="s">
        <v>1164</v>
      </c>
    </row>
    <row r="390" spans="1:16" ht="75">
      <c r="A390" s="13" t="s">
        <v>2392</v>
      </c>
      <c r="B390" s="15" t="s">
        <v>2393</v>
      </c>
      <c r="C390" s="15" t="s">
        <v>2394</v>
      </c>
      <c r="D390" s="15" t="s">
        <v>49</v>
      </c>
      <c r="E390" s="13" t="s">
        <v>1162</v>
      </c>
      <c r="F390" s="13" t="s">
        <v>1161</v>
      </c>
      <c r="G390" s="13" t="s">
        <v>1162</v>
      </c>
      <c r="H390" s="138">
        <v>1</v>
      </c>
      <c r="I390" s="138">
        <v>1</v>
      </c>
      <c r="J390" s="138">
        <v>0</v>
      </c>
      <c r="K390" s="138">
        <v>0</v>
      </c>
      <c r="L390" s="138">
        <v>0</v>
      </c>
      <c r="M390" s="15" t="s">
        <v>2395</v>
      </c>
      <c r="N390" s="15"/>
      <c r="O390" s="100"/>
      <c r="P390" s="14" t="s">
        <v>1164</v>
      </c>
    </row>
    <row r="391" spans="1:16" ht="75">
      <c r="A391" s="13" t="s">
        <v>2396</v>
      </c>
      <c r="B391" s="15" t="s">
        <v>2397</v>
      </c>
      <c r="C391" s="15" t="s">
        <v>2394</v>
      </c>
      <c r="D391" s="15" t="s">
        <v>49</v>
      </c>
      <c r="E391" s="13" t="s">
        <v>1162</v>
      </c>
      <c r="F391" s="13" t="s">
        <v>1161</v>
      </c>
      <c r="G391" s="13" t="s">
        <v>1162</v>
      </c>
      <c r="H391" s="138">
        <v>1</v>
      </c>
      <c r="I391" s="138">
        <v>0</v>
      </c>
      <c r="J391" s="138">
        <v>2</v>
      </c>
      <c r="K391" s="138">
        <v>0</v>
      </c>
      <c r="L391" s="138">
        <v>0</v>
      </c>
      <c r="M391" s="15" t="s">
        <v>2398</v>
      </c>
      <c r="N391" s="15"/>
      <c r="O391" s="100"/>
      <c r="P391" s="14" t="s">
        <v>1164</v>
      </c>
    </row>
    <row r="392" spans="1:16" ht="90">
      <c r="A392" s="13" t="s">
        <v>2399</v>
      </c>
      <c r="B392" s="15" t="s">
        <v>2400</v>
      </c>
      <c r="C392" s="15" t="s">
        <v>2394</v>
      </c>
      <c r="D392" s="15" t="s">
        <v>49</v>
      </c>
      <c r="E392" s="13" t="s">
        <v>1162</v>
      </c>
      <c r="F392" s="13" t="s">
        <v>1161</v>
      </c>
      <c r="G392" s="13" t="s">
        <v>1161</v>
      </c>
      <c r="H392" s="138">
        <v>1</v>
      </c>
      <c r="I392" s="138">
        <v>0</v>
      </c>
      <c r="J392" s="138">
        <v>0</v>
      </c>
      <c r="K392" s="138">
        <v>0</v>
      </c>
      <c r="L392" s="138">
        <v>10</v>
      </c>
      <c r="M392" s="15" t="s">
        <v>2401</v>
      </c>
      <c r="N392" s="15"/>
      <c r="O392" s="259"/>
      <c r="P392" s="14" t="s">
        <v>1164</v>
      </c>
    </row>
    <row r="393" spans="1:16" ht="75">
      <c r="A393" s="13" t="s">
        <v>2402</v>
      </c>
      <c r="B393" s="15" t="s">
        <v>2403</v>
      </c>
      <c r="C393" s="15" t="s">
        <v>2394</v>
      </c>
      <c r="D393" s="15" t="s">
        <v>49</v>
      </c>
      <c r="E393" s="13" t="s">
        <v>1162</v>
      </c>
      <c r="F393" s="13" t="s">
        <v>1161</v>
      </c>
      <c r="G393" s="13" t="s">
        <v>1161</v>
      </c>
      <c r="H393" s="138">
        <v>1</v>
      </c>
      <c r="I393" s="138">
        <v>1</v>
      </c>
      <c r="J393" s="138">
        <v>0</v>
      </c>
      <c r="K393" s="138">
        <v>0</v>
      </c>
      <c r="L393" s="138">
        <v>0</v>
      </c>
      <c r="M393" s="15" t="s">
        <v>2404</v>
      </c>
      <c r="N393" s="15"/>
      <c r="O393" s="259"/>
      <c r="P393" s="14" t="s">
        <v>1164</v>
      </c>
    </row>
    <row r="394" spans="1:16" ht="60">
      <c r="A394" s="13" t="s">
        <v>2405</v>
      </c>
      <c r="B394" s="15" t="s">
        <v>2406</v>
      </c>
      <c r="C394" s="15" t="s">
        <v>2407</v>
      </c>
      <c r="D394" s="15" t="s">
        <v>49</v>
      </c>
      <c r="E394" s="13" t="s">
        <v>1162</v>
      </c>
      <c r="F394" s="13" t="s">
        <v>1161</v>
      </c>
      <c r="G394" s="13" t="s">
        <v>1162</v>
      </c>
      <c r="H394" s="138">
        <v>3</v>
      </c>
      <c r="I394" s="138">
        <v>2</v>
      </c>
      <c r="J394" s="138">
        <v>3</v>
      </c>
      <c r="K394" s="138">
        <v>0</v>
      </c>
      <c r="L394" s="138">
        <v>0</v>
      </c>
      <c r="M394" s="15" t="s">
        <v>2408</v>
      </c>
      <c r="N394" s="15"/>
      <c r="O394" s="259"/>
      <c r="P394" s="14" t="s">
        <v>1164</v>
      </c>
    </row>
    <row r="395" spans="1:16" ht="90">
      <c r="A395" s="13" t="s">
        <v>2409</v>
      </c>
      <c r="B395" s="15" t="s">
        <v>2410</v>
      </c>
      <c r="C395" s="15" t="s">
        <v>2407</v>
      </c>
      <c r="D395" s="15" t="s">
        <v>49</v>
      </c>
      <c r="E395" s="13" t="s">
        <v>1161</v>
      </c>
      <c r="F395" s="13" t="s">
        <v>1162</v>
      </c>
      <c r="G395" s="13" t="s">
        <v>1162</v>
      </c>
      <c r="H395" s="138">
        <v>3</v>
      </c>
      <c r="I395" s="138">
        <v>2</v>
      </c>
      <c r="J395" s="138">
        <v>2</v>
      </c>
      <c r="K395" s="138">
        <v>0</v>
      </c>
      <c r="L395" s="138">
        <v>0</v>
      </c>
      <c r="M395" s="15" t="s">
        <v>2411</v>
      </c>
      <c r="N395" s="15"/>
      <c r="O395" s="100"/>
      <c r="P395" s="14" t="s">
        <v>1164</v>
      </c>
    </row>
    <row r="396" spans="1:16" ht="75">
      <c r="A396" s="13" t="s">
        <v>2412</v>
      </c>
      <c r="B396" s="15" t="s">
        <v>2413</v>
      </c>
      <c r="C396" s="15" t="s">
        <v>2407</v>
      </c>
      <c r="D396" s="15" t="s">
        <v>49</v>
      </c>
      <c r="E396" s="13" t="s">
        <v>1162</v>
      </c>
      <c r="F396" s="13" t="s">
        <v>1161</v>
      </c>
      <c r="G396" s="13" t="s">
        <v>1162</v>
      </c>
      <c r="H396" s="138">
        <v>3</v>
      </c>
      <c r="I396" s="138">
        <v>2</v>
      </c>
      <c r="J396" s="138">
        <v>3</v>
      </c>
      <c r="K396" s="138">
        <v>0</v>
      </c>
      <c r="L396" s="138">
        <v>0</v>
      </c>
      <c r="M396" s="15" t="s">
        <v>2414</v>
      </c>
      <c r="N396" s="15"/>
      <c r="O396" s="259"/>
      <c r="P396" s="14" t="s">
        <v>1164</v>
      </c>
    </row>
    <row r="397" spans="1:16">
      <c r="O397" s="259"/>
    </row>
    <row r="398" spans="1:16">
      <c r="O398" s="259"/>
    </row>
    <row r="399" spans="1:16">
      <c r="O399" s="259"/>
    </row>
    <row r="400" spans="1:16">
      <c r="O400" s="259"/>
    </row>
    <row r="401" spans="15:15">
      <c r="O401" s="259"/>
    </row>
    <row r="402" spans="15:15">
      <c r="O402" s="259"/>
    </row>
    <row r="403" spans="15:15">
      <c r="O403" s="259"/>
    </row>
    <row r="404" spans="15:15">
      <c r="O404" s="259"/>
    </row>
    <row r="405" spans="15:15">
      <c r="O405" s="259"/>
    </row>
    <row r="406" spans="15:15">
      <c r="O406" s="259"/>
    </row>
    <row r="407" spans="15:15">
      <c r="O407" s="259"/>
    </row>
    <row r="408" spans="15:15">
      <c r="O408" s="259"/>
    </row>
    <row r="409" spans="15:15">
      <c r="O409" s="259"/>
    </row>
    <row r="410" spans="15:15">
      <c r="O410" s="259"/>
    </row>
    <row r="411" spans="15:15">
      <c r="O411" s="259"/>
    </row>
    <row r="412" spans="15:15">
      <c r="O412" s="259"/>
    </row>
    <row r="413" spans="15:15">
      <c r="O413" s="259"/>
    </row>
    <row r="414" spans="15:15">
      <c r="O414" s="259"/>
    </row>
    <row r="415" spans="15:15">
      <c r="O415" s="259"/>
    </row>
    <row r="416" spans="15:15">
      <c r="O416" s="259"/>
    </row>
    <row r="417" spans="15:15">
      <c r="O417" s="259"/>
    </row>
    <row r="418" spans="15:15">
      <c r="O418" s="259"/>
    </row>
    <row r="419" spans="15:15">
      <c r="O419" s="259"/>
    </row>
    <row r="420" spans="15:15">
      <c r="O420" s="259"/>
    </row>
    <row r="421" spans="15:15">
      <c r="O421" s="259"/>
    </row>
    <row r="422" spans="15:15">
      <c r="O422" s="259"/>
    </row>
    <row r="423" spans="15:15">
      <c r="O423" s="259"/>
    </row>
    <row r="424" spans="15:15">
      <c r="O424" s="259"/>
    </row>
    <row r="425" spans="15:15">
      <c r="O425" s="259"/>
    </row>
    <row r="426" spans="15:15">
      <c r="O426" s="259"/>
    </row>
    <row r="427" spans="15:15">
      <c r="O427" s="259"/>
    </row>
    <row r="428" spans="15:15">
      <c r="O428" s="259"/>
    </row>
    <row r="429" spans="15:15">
      <c r="O429" s="259"/>
    </row>
    <row r="430" spans="15:15">
      <c r="O430" s="259"/>
    </row>
    <row r="431" spans="15:15">
      <c r="O431" s="259"/>
    </row>
    <row r="432" spans="15:15">
      <c r="O432" s="259"/>
    </row>
    <row r="433" spans="15:15">
      <c r="O433" s="259"/>
    </row>
    <row r="434" spans="15:15">
      <c r="O434" s="259"/>
    </row>
    <row r="435" spans="15:15">
      <c r="O435" s="259"/>
    </row>
    <row r="436" spans="15:15">
      <c r="O436" s="259"/>
    </row>
    <row r="437" spans="15:15">
      <c r="O437" s="259"/>
    </row>
    <row r="438" spans="15:15">
      <c r="O438" s="259"/>
    </row>
    <row r="439" spans="15:15">
      <c r="O439" s="259"/>
    </row>
    <row r="440" spans="15:15">
      <c r="O440" s="259"/>
    </row>
    <row r="441" spans="15:15" ht="15" customHeight="1">
      <c r="O441" s="259"/>
    </row>
  </sheetData>
  <autoFilter ref="A1:P396" xr:uid="{93D3E529-F618-4E95-8C41-A237AF51DD04}"/>
  <sortState xmlns:xlrd2="http://schemas.microsoft.com/office/spreadsheetml/2017/richdata2" ref="A3:P441">
    <sortCondition ref="A3:A441"/>
  </sortState>
  <dataValidations count="1">
    <dataValidation type="list" allowBlank="1" showInputMessage="1" showErrorMessage="1" sqref="E1:G1048576" xr:uid="{7D4651DD-6102-427C-A2F0-D92BC5674784}">
      <formula1>"true,false"</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3D200-84B2-452D-A687-D0E863B43424}">
  <dimension ref="A1:C194"/>
  <sheetViews>
    <sheetView workbookViewId="0">
      <pane ySplit="1" topLeftCell="A147" activePane="bottomLeft" state="frozen"/>
      <selection pane="bottomLeft" activeCell="A98" sqref="A98:C98"/>
    </sheetView>
  </sheetViews>
  <sheetFormatPr defaultColWidth="9.140625" defaultRowHeight="15"/>
  <cols>
    <col min="1" max="1" width="11.42578125" style="12" customWidth="1"/>
    <col min="2" max="2" width="19.85546875" style="12" customWidth="1"/>
    <col min="3" max="3" width="171.5703125" style="14" customWidth="1"/>
    <col min="4" max="16384" width="9.140625" style="12"/>
  </cols>
  <sheetData>
    <row r="1" spans="1:3">
      <c r="A1" s="43" t="s">
        <v>1143</v>
      </c>
      <c r="B1" s="43" t="s">
        <v>2415</v>
      </c>
      <c r="C1" s="26" t="s">
        <v>2416</v>
      </c>
    </row>
    <row r="2" spans="1:3">
      <c r="A2" s="43" t="s">
        <v>1178</v>
      </c>
      <c r="B2" s="43" t="s">
        <v>2417</v>
      </c>
      <c r="C2" s="26" t="s">
        <v>2418</v>
      </c>
    </row>
    <row r="3" spans="1:3">
      <c r="A3" s="43" t="s">
        <v>1181</v>
      </c>
      <c r="B3" s="43" t="s">
        <v>2417</v>
      </c>
      <c r="C3" s="26" t="s">
        <v>2418</v>
      </c>
    </row>
    <row r="4" spans="1:3">
      <c r="A4" s="43" t="s">
        <v>1190</v>
      </c>
      <c r="B4" s="43" t="s">
        <v>2417</v>
      </c>
      <c r="C4" s="26" t="s">
        <v>2419</v>
      </c>
    </row>
    <row r="5" spans="1:3">
      <c r="A5" s="43" t="s">
        <v>1193</v>
      </c>
      <c r="B5" s="43" t="s">
        <v>2417</v>
      </c>
      <c r="C5" s="26" t="s">
        <v>2419</v>
      </c>
    </row>
    <row r="6" spans="1:3">
      <c r="A6" s="43" t="s">
        <v>1196</v>
      </c>
      <c r="B6" s="43" t="s">
        <v>2417</v>
      </c>
      <c r="C6" s="26" t="s">
        <v>2420</v>
      </c>
    </row>
    <row r="7" spans="1:3">
      <c r="A7" s="43" t="s">
        <v>1199</v>
      </c>
      <c r="B7" s="43" t="s">
        <v>2417</v>
      </c>
      <c r="C7" s="26" t="s">
        <v>2418</v>
      </c>
    </row>
    <row r="8" spans="1:3">
      <c r="A8" s="43" t="s">
        <v>1202</v>
      </c>
      <c r="B8" s="43" t="s">
        <v>2417</v>
      </c>
      <c r="C8" s="26" t="s">
        <v>2421</v>
      </c>
    </row>
    <row r="9" spans="1:3">
      <c r="A9" s="43" t="s">
        <v>1205</v>
      </c>
      <c r="B9" s="43" t="s">
        <v>2417</v>
      </c>
      <c r="C9" s="26" t="s">
        <v>2422</v>
      </c>
    </row>
    <row r="10" spans="1:3">
      <c r="A10" s="43" t="s">
        <v>1221</v>
      </c>
      <c r="B10" s="43" t="s">
        <v>2417</v>
      </c>
      <c r="C10" s="26" t="s">
        <v>2423</v>
      </c>
    </row>
    <row r="11" spans="1:3">
      <c r="A11" s="43" t="s">
        <v>1224</v>
      </c>
      <c r="B11" s="43" t="s">
        <v>2417</v>
      </c>
      <c r="C11" s="26" t="s">
        <v>2424</v>
      </c>
    </row>
    <row r="12" spans="1:3">
      <c r="A12" s="43" t="s">
        <v>1230</v>
      </c>
      <c r="B12" s="43" t="s">
        <v>2417</v>
      </c>
      <c r="C12" s="26" t="s">
        <v>2425</v>
      </c>
    </row>
    <row r="13" spans="1:3">
      <c r="A13" s="43" t="s">
        <v>1245</v>
      </c>
      <c r="B13" s="43" t="s">
        <v>2417</v>
      </c>
      <c r="C13" s="26" t="s">
        <v>2426</v>
      </c>
    </row>
    <row r="14" spans="1:3">
      <c r="A14" s="43" t="s">
        <v>1251</v>
      </c>
      <c r="B14" s="43" t="s">
        <v>2417</v>
      </c>
      <c r="C14" s="26" t="s">
        <v>2424</v>
      </c>
    </row>
    <row r="15" spans="1:3">
      <c r="A15" s="43" t="s">
        <v>1283</v>
      </c>
      <c r="B15" s="43" t="s">
        <v>2417</v>
      </c>
      <c r="C15" s="26" t="s">
        <v>2427</v>
      </c>
    </row>
    <row r="16" spans="1:3">
      <c r="A16" s="43" t="s">
        <v>1298</v>
      </c>
      <c r="B16" s="43" t="s">
        <v>2417</v>
      </c>
      <c r="C16" s="26" t="s">
        <v>2428</v>
      </c>
    </row>
    <row r="17" spans="1:3">
      <c r="A17" s="43" t="s">
        <v>1308</v>
      </c>
      <c r="B17" s="43" t="s">
        <v>2417</v>
      </c>
      <c r="C17" s="26" t="s">
        <v>2429</v>
      </c>
    </row>
    <row r="18" spans="1:3">
      <c r="A18" s="43" t="s">
        <v>1311</v>
      </c>
      <c r="B18" s="43" t="s">
        <v>2417</v>
      </c>
      <c r="C18" s="26" t="s">
        <v>2430</v>
      </c>
    </row>
    <row r="19" spans="1:3">
      <c r="A19" s="43" t="s">
        <v>1314</v>
      </c>
      <c r="B19" s="43" t="s">
        <v>2417</v>
      </c>
      <c r="C19" s="26" t="s">
        <v>2431</v>
      </c>
    </row>
    <row r="20" spans="1:3">
      <c r="A20" s="43" t="s">
        <v>1317</v>
      </c>
      <c r="B20" s="43" t="s">
        <v>2432</v>
      </c>
      <c r="C20" s="26" t="s">
        <v>2433</v>
      </c>
    </row>
    <row r="21" spans="1:3">
      <c r="A21" s="43" t="s">
        <v>1321</v>
      </c>
      <c r="B21" s="43" t="s">
        <v>2432</v>
      </c>
      <c r="C21" s="26" t="s">
        <v>2434</v>
      </c>
    </row>
    <row r="22" spans="1:3">
      <c r="A22" s="43" t="s">
        <v>1324</v>
      </c>
      <c r="B22" s="43" t="s">
        <v>2417</v>
      </c>
      <c r="C22" s="26" t="s">
        <v>2435</v>
      </c>
    </row>
    <row r="23" spans="1:3">
      <c r="A23" s="43" t="s">
        <v>1328</v>
      </c>
      <c r="B23" s="43" t="s">
        <v>2417</v>
      </c>
      <c r="C23" s="26" t="s">
        <v>2436</v>
      </c>
    </row>
    <row r="24" spans="1:3">
      <c r="A24" s="43" t="s">
        <v>1331</v>
      </c>
      <c r="B24" s="43" t="s">
        <v>2417</v>
      </c>
      <c r="C24" s="26" t="s">
        <v>2435</v>
      </c>
    </row>
    <row r="25" spans="1:3">
      <c r="A25" s="43" t="s">
        <v>1341</v>
      </c>
      <c r="B25" s="43" t="s">
        <v>2417</v>
      </c>
      <c r="C25" s="26" t="s">
        <v>2437</v>
      </c>
    </row>
    <row r="26" spans="1:3">
      <c r="A26" s="43" t="s">
        <v>1344</v>
      </c>
      <c r="B26" s="43" t="s">
        <v>2432</v>
      </c>
      <c r="C26" s="26" t="s">
        <v>2438</v>
      </c>
    </row>
    <row r="27" spans="1:3">
      <c r="A27" s="43" t="s">
        <v>1347</v>
      </c>
      <c r="B27" s="43" t="s">
        <v>2432</v>
      </c>
      <c r="C27" s="26" t="s">
        <v>2439</v>
      </c>
    </row>
    <row r="28" spans="1:3">
      <c r="A28" s="43" t="s">
        <v>1356</v>
      </c>
      <c r="B28" s="43" t="s">
        <v>2417</v>
      </c>
      <c r="C28" s="26" t="s">
        <v>2440</v>
      </c>
    </row>
    <row r="29" spans="1:3">
      <c r="A29" s="43" t="s">
        <v>1359</v>
      </c>
      <c r="B29" s="43" t="s">
        <v>2417</v>
      </c>
      <c r="C29" s="26" t="s">
        <v>2441</v>
      </c>
    </row>
    <row r="30" spans="1:3">
      <c r="A30" s="43" t="s">
        <v>2442</v>
      </c>
      <c r="B30" s="43" t="s">
        <v>2417</v>
      </c>
      <c r="C30" s="26" t="s">
        <v>2443</v>
      </c>
    </row>
    <row r="31" spans="1:3" ht="30">
      <c r="A31" s="43" t="s">
        <v>1393</v>
      </c>
      <c r="B31" s="43" t="s">
        <v>2417</v>
      </c>
      <c r="C31" s="26" t="s">
        <v>2444</v>
      </c>
    </row>
    <row r="32" spans="1:3">
      <c r="A32" s="43" t="s">
        <v>1415</v>
      </c>
      <c r="B32" s="43" t="s">
        <v>2432</v>
      </c>
      <c r="C32" s="26" t="s">
        <v>2445</v>
      </c>
    </row>
    <row r="33" spans="1:3">
      <c r="A33" s="43" t="s">
        <v>1419</v>
      </c>
      <c r="B33" s="43" t="s">
        <v>2432</v>
      </c>
      <c r="C33" s="26" t="s">
        <v>2446</v>
      </c>
    </row>
    <row r="34" spans="1:3">
      <c r="A34" s="43" t="s">
        <v>1422</v>
      </c>
      <c r="B34" s="43" t="s">
        <v>2432</v>
      </c>
      <c r="C34" s="26" t="s">
        <v>2447</v>
      </c>
    </row>
    <row r="35" spans="1:3">
      <c r="A35" s="43" t="s">
        <v>1425</v>
      </c>
      <c r="B35" s="43" t="s">
        <v>2417</v>
      </c>
      <c r="C35" s="26" t="s">
        <v>2448</v>
      </c>
    </row>
    <row r="36" spans="1:3">
      <c r="A36" s="43" t="s">
        <v>1428</v>
      </c>
      <c r="B36" s="43" t="s">
        <v>2417</v>
      </c>
      <c r="C36" s="26" t="s">
        <v>2449</v>
      </c>
    </row>
    <row r="37" spans="1:3">
      <c r="A37" s="43" t="s">
        <v>1431</v>
      </c>
      <c r="B37" s="43" t="s">
        <v>2417</v>
      </c>
      <c r="C37" s="26" t="s">
        <v>2450</v>
      </c>
    </row>
    <row r="38" spans="1:3">
      <c r="A38" s="43" t="s">
        <v>1438</v>
      </c>
      <c r="B38" s="43" t="s">
        <v>2417</v>
      </c>
      <c r="C38" s="26" t="s">
        <v>2451</v>
      </c>
    </row>
    <row r="39" spans="1:3">
      <c r="A39" s="43" t="s">
        <v>1491</v>
      </c>
      <c r="B39" s="43" t="s">
        <v>2417</v>
      </c>
      <c r="C39" s="26" t="s">
        <v>2452</v>
      </c>
    </row>
    <row r="40" spans="1:3">
      <c r="A40" s="43" t="s">
        <v>1495</v>
      </c>
      <c r="B40" s="43" t="s">
        <v>2417</v>
      </c>
      <c r="C40" s="26" t="s">
        <v>2453</v>
      </c>
    </row>
    <row r="41" spans="1:3">
      <c r="A41" s="43" t="s">
        <v>1498</v>
      </c>
      <c r="B41" s="43" t="s">
        <v>2417</v>
      </c>
      <c r="C41" s="26" t="s">
        <v>2454</v>
      </c>
    </row>
    <row r="42" spans="1:3">
      <c r="A42" s="43" t="s">
        <v>1501</v>
      </c>
      <c r="B42" s="43" t="s">
        <v>2417</v>
      </c>
      <c r="C42" s="26" t="s">
        <v>2455</v>
      </c>
    </row>
    <row r="43" spans="1:3">
      <c r="A43" s="43" t="s">
        <v>1505</v>
      </c>
      <c r="B43" s="43" t="s">
        <v>2417</v>
      </c>
      <c r="C43" s="26" t="s">
        <v>2452</v>
      </c>
    </row>
    <row r="44" spans="1:3" ht="30">
      <c r="A44" s="43" t="s">
        <v>1515</v>
      </c>
      <c r="B44" s="43" t="s">
        <v>2417</v>
      </c>
      <c r="C44" s="26" t="s">
        <v>2456</v>
      </c>
    </row>
    <row r="45" spans="1:3">
      <c r="A45" s="43" t="s">
        <v>1521</v>
      </c>
      <c r="B45" s="43" t="s">
        <v>2417</v>
      </c>
      <c r="C45" s="26" t="s">
        <v>2457</v>
      </c>
    </row>
    <row r="46" spans="1:3">
      <c r="A46" s="43" t="s">
        <v>1524</v>
      </c>
      <c r="B46" s="43" t="s">
        <v>2417</v>
      </c>
      <c r="C46" s="26" t="s">
        <v>2458</v>
      </c>
    </row>
    <row r="47" spans="1:3">
      <c r="A47" s="43" t="s">
        <v>1527</v>
      </c>
      <c r="B47" s="43" t="s">
        <v>2417</v>
      </c>
      <c r="C47" s="26" t="s">
        <v>2459</v>
      </c>
    </row>
    <row r="48" spans="1:3">
      <c r="A48" s="43" t="s">
        <v>1531</v>
      </c>
      <c r="B48" s="43" t="s">
        <v>2417</v>
      </c>
      <c r="C48" s="26" t="s">
        <v>2460</v>
      </c>
    </row>
    <row r="49" spans="1:3" ht="30">
      <c r="A49" s="43" t="s">
        <v>1534</v>
      </c>
      <c r="B49" s="43" t="s">
        <v>2417</v>
      </c>
      <c r="C49" s="26" t="s">
        <v>2461</v>
      </c>
    </row>
    <row r="50" spans="1:3">
      <c r="A50" s="43" t="s">
        <v>1604</v>
      </c>
      <c r="B50" s="43" t="s">
        <v>2417</v>
      </c>
      <c r="C50" s="26" t="s">
        <v>2462</v>
      </c>
    </row>
    <row r="51" spans="1:3">
      <c r="A51" s="43" t="s">
        <v>1616</v>
      </c>
      <c r="B51" s="43" t="s">
        <v>2417</v>
      </c>
      <c r="C51" s="26" t="s">
        <v>2463</v>
      </c>
    </row>
    <row r="52" spans="1:3">
      <c r="A52" s="43" t="s">
        <v>1619</v>
      </c>
      <c r="B52" s="43" t="s">
        <v>2417</v>
      </c>
      <c r="C52" s="26" t="s">
        <v>2463</v>
      </c>
    </row>
    <row r="53" spans="1:3">
      <c r="A53" s="43" t="s">
        <v>1622</v>
      </c>
      <c r="B53" s="43" t="s">
        <v>2417</v>
      </c>
      <c r="C53" s="26" t="s">
        <v>2462</v>
      </c>
    </row>
    <row r="54" spans="1:3">
      <c r="A54" s="43" t="s">
        <v>1628</v>
      </c>
      <c r="B54" s="43" t="s">
        <v>2417</v>
      </c>
      <c r="C54" s="26" t="s">
        <v>2463</v>
      </c>
    </row>
    <row r="55" spans="1:3">
      <c r="A55" s="43" t="s">
        <v>1631</v>
      </c>
      <c r="B55" s="43" t="s">
        <v>2417</v>
      </c>
      <c r="C55" s="26" t="s">
        <v>2463</v>
      </c>
    </row>
    <row r="56" spans="1:3">
      <c r="A56" s="43" t="s">
        <v>1634</v>
      </c>
      <c r="B56" s="43" t="s">
        <v>2417</v>
      </c>
      <c r="C56" s="26" t="s">
        <v>2464</v>
      </c>
    </row>
    <row r="57" spans="1:3">
      <c r="A57" s="43" t="s">
        <v>1637</v>
      </c>
      <c r="B57" s="43" t="s">
        <v>2417</v>
      </c>
      <c r="C57" s="26" t="s">
        <v>2462</v>
      </c>
    </row>
    <row r="58" spans="1:3">
      <c r="A58" s="43" t="s">
        <v>1640</v>
      </c>
      <c r="B58" s="43" t="s">
        <v>2432</v>
      </c>
      <c r="C58" s="26" t="s">
        <v>2465</v>
      </c>
    </row>
    <row r="59" spans="1:3">
      <c r="A59" s="43" t="s">
        <v>1643</v>
      </c>
      <c r="B59" s="43" t="s">
        <v>2417</v>
      </c>
      <c r="C59" s="26" t="s">
        <v>2466</v>
      </c>
    </row>
    <row r="60" spans="1:3">
      <c r="A60" s="43" t="s">
        <v>1676</v>
      </c>
      <c r="B60" s="43" t="s">
        <v>2417</v>
      </c>
      <c r="C60" s="26" t="s">
        <v>2467</v>
      </c>
    </row>
    <row r="61" spans="1:3">
      <c r="A61" s="43" t="s">
        <v>1679</v>
      </c>
      <c r="B61" s="43" t="s">
        <v>2417</v>
      </c>
      <c r="C61" s="26" t="s">
        <v>2468</v>
      </c>
    </row>
    <row r="62" spans="1:3">
      <c r="A62" s="43" t="s">
        <v>1683</v>
      </c>
      <c r="B62" s="43" t="s">
        <v>2417</v>
      </c>
      <c r="C62" s="26" t="s">
        <v>2469</v>
      </c>
    </row>
    <row r="63" spans="1:3">
      <c r="A63" s="43" t="s">
        <v>1686</v>
      </c>
      <c r="B63" s="43" t="s">
        <v>2417</v>
      </c>
      <c r="C63" s="26" t="s">
        <v>2470</v>
      </c>
    </row>
    <row r="64" spans="1:3">
      <c r="A64" s="43" t="s">
        <v>1689</v>
      </c>
      <c r="B64" s="43" t="s">
        <v>2417</v>
      </c>
      <c r="C64" s="26" t="s">
        <v>2471</v>
      </c>
    </row>
    <row r="65" spans="1:3">
      <c r="A65" s="43" t="s">
        <v>1693</v>
      </c>
      <c r="B65" s="43" t="s">
        <v>2417</v>
      </c>
      <c r="C65" s="26" t="s">
        <v>2472</v>
      </c>
    </row>
    <row r="66" spans="1:3">
      <c r="A66" s="43" t="s">
        <v>1696</v>
      </c>
      <c r="B66" s="43" t="s">
        <v>2417</v>
      </c>
      <c r="C66" s="26" t="s">
        <v>2472</v>
      </c>
    </row>
    <row r="67" spans="1:3">
      <c r="A67" s="43" t="s">
        <v>1699</v>
      </c>
      <c r="B67" s="43" t="s">
        <v>2417</v>
      </c>
      <c r="C67" s="26" t="s">
        <v>2468</v>
      </c>
    </row>
    <row r="68" spans="1:3">
      <c r="A68" s="43" t="s">
        <v>1702</v>
      </c>
      <c r="B68" s="43" t="s">
        <v>2417</v>
      </c>
      <c r="C68" s="26" t="s">
        <v>2436</v>
      </c>
    </row>
    <row r="69" spans="1:3">
      <c r="A69" s="43" t="s">
        <v>1705</v>
      </c>
      <c r="B69" s="43" t="s">
        <v>2417</v>
      </c>
      <c r="C69" s="26" t="s">
        <v>2473</v>
      </c>
    </row>
    <row r="70" spans="1:3">
      <c r="A70" s="43" t="s">
        <v>1709</v>
      </c>
      <c r="B70" s="43" t="s">
        <v>2417</v>
      </c>
      <c r="C70" s="26" t="s">
        <v>2472</v>
      </c>
    </row>
    <row r="71" spans="1:3">
      <c r="A71" s="43" t="s">
        <v>1712</v>
      </c>
      <c r="B71" s="43" t="s">
        <v>2417</v>
      </c>
      <c r="C71" s="26" t="s">
        <v>2472</v>
      </c>
    </row>
    <row r="72" spans="1:3">
      <c r="A72" s="43" t="s">
        <v>1715</v>
      </c>
      <c r="B72" s="43" t="s">
        <v>2417</v>
      </c>
      <c r="C72" s="26" t="s">
        <v>2472</v>
      </c>
    </row>
    <row r="73" spans="1:3">
      <c r="A73" s="43" t="s">
        <v>1718</v>
      </c>
      <c r="B73" s="43" t="s">
        <v>2417</v>
      </c>
      <c r="C73" s="26" t="s">
        <v>2474</v>
      </c>
    </row>
    <row r="74" spans="1:3">
      <c r="A74" s="43" t="s">
        <v>1721</v>
      </c>
      <c r="B74" s="43" t="s">
        <v>2417</v>
      </c>
      <c r="C74" s="26" t="s">
        <v>2472</v>
      </c>
    </row>
    <row r="75" spans="1:3">
      <c r="A75" s="43" t="s">
        <v>1738</v>
      </c>
      <c r="B75" s="43" t="s">
        <v>2417</v>
      </c>
      <c r="C75" s="26" t="s">
        <v>2475</v>
      </c>
    </row>
    <row r="76" spans="1:3">
      <c r="A76" s="43" t="s">
        <v>1741</v>
      </c>
      <c r="B76" s="43" t="s">
        <v>2417</v>
      </c>
      <c r="C76" s="26" t="s">
        <v>2476</v>
      </c>
    </row>
    <row r="77" spans="1:3">
      <c r="A77" s="43" t="s">
        <v>1744</v>
      </c>
      <c r="B77" s="43" t="s">
        <v>2417</v>
      </c>
      <c r="C77" s="26" t="s">
        <v>2476</v>
      </c>
    </row>
    <row r="78" spans="1:3">
      <c r="A78" s="43" t="s">
        <v>1747</v>
      </c>
      <c r="B78" s="43" t="s">
        <v>2417</v>
      </c>
      <c r="C78" s="26" t="s">
        <v>2476</v>
      </c>
    </row>
    <row r="79" spans="1:3">
      <c r="A79" s="43" t="s">
        <v>1750</v>
      </c>
      <c r="B79" s="43" t="s">
        <v>2417</v>
      </c>
      <c r="C79" s="26" t="s">
        <v>2477</v>
      </c>
    </row>
    <row r="80" spans="1:3">
      <c r="A80" s="43" t="s">
        <v>1753</v>
      </c>
      <c r="B80" s="43" t="s">
        <v>2417</v>
      </c>
      <c r="C80" s="26" t="s">
        <v>2478</v>
      </c>
    </row>
    <row r="81" spans="1:3">
      <c r="A81" s="43" t="s">
        <v>1756</v>
      </c>
      <c r="B81" s="43" t="s">
        <v>2417</v>
      </c>
      <c r="C81" s="26" t="s">
        <v>2479</v>
      </c>
    </row>
    <row r="82" spans="1:3">
      <c r="A82" s="43" t="s">
        <v>1762</v>
      </c>
      <c r="B82" s="43" t="s">
        <v>2417</v>
      </c>
      <c r="C82" s="26" t="s">
        <v>2480</v>
      </c>
    </row>
    <row r="83" spans="1:3">
      <c r="A83" s="43" t="s">
        <v>1765</v>
      </c>
      <c r="B83" s="43" t="s">
        <v>2417</v>
      </c>
      <c r="C83" s="26" t="s">
        <v>2481</v>
      </c>
    </row>
    <row r="84" spans="1:3">
      <c r="A84" s="43" t="s">
        <v>1768</v>
      </c>
      <c r="B84" s="43" t="s">
        <v>2417</v>
      </c>
      <c r="C84" s="26" t="s">
        <v>2480</v>
      </c>
    </row>
    <row r="85" spans="1:3">
      <c r="A85" s="43" t="s">
        <v>1771</v>
      </c>
      <c r="B85" s="43" t="s">
        <v>2417</v>
      </c>
      <c r="C85" s="26" t="s">
        <v>2480</v>
      </c>
    </row>
    <row r="86" spans="1:3">
      <c r="A86" s="43" t="s">
        <v>1774</v>
      </c>
      <c r="B86" s="43" t="s">
        <v>2417</v>
      </c>
      <c r="C86" s="26" t="s">
        <v>2480</v>
      </c>
    </row>
    <row r="87" spans="1:3">
      <c r="A87" s="43" t="s">
        <v>1780</v>
      </c>
      <c r="B87" s="43" t="s">
        <v>2417</v>
      </c>
      <c r="C87" s="26" t="s">
        <v>2482</v>
      </c>
    </row>
    <row r="88" spans="1:3">
      <c r="A88" s="43" t="s">
        <v>1790</v>
      </c>
      <c r="B88" s="43" t="s">
        <v>2417</v>
      </c>
      <c r="C88" s="26" t="s">
        <v>2483</v>
      </c>
    </row>
    <row r="89" spans="1:3">
      <c r="A89" s="43" t="s">
        <v>1793</v>
      </c>
      <c r="B89" s="43" t="s">
        <v>2417</v>
      </c>
      <c r="C89" s="26" t="s">
        <v>2484</v>
      </c>
    </row>
    <row r="90" spans="1:3">
      <c r="A90" s="43" t="s">
        <v>1796</v>
      </c>
      <c r="B90" s="43" t="s">
        <v>2417</v>
      </c>
      <c r="C90" s="26" t="s">
        <v>2484</v>
      </c>
    </row>
    <row r="91" spans="1:3">
      <c r="A91" s="43" t="s">
        <v>1799</v>
      </c>
      <c r="B91" s="43" t="s">
        <v>2417</v>
      </c>
      <c r="C91" s="26" t="s">
        <v>2484</v>
      </c>
    </row>
    <row r="92" spans="1:3">
      <c r="A92" s="43" t="s">
        <v>1802</v>
      </c>
      <c r="B92" s="43" t="s">
        <v>2417</v>
      </c>
      <c r="C92" s="26" t="s">
        <v>2485</v>
      </c>
    </row>
    <row r="93" spans="1:3">
      <c r="A93" s="43" t="s">
        <v>1805</v>
      </c>
      <c r="B93" s="43" t="s">
        <v>2417</v>
      </c>
      <c r="C93" s="26" t="s">
        <v>2485</v>
      </c>
    </row>
    <row r="94" spans="1:3">
      <c r="A94" s="43" t="s">
        <v>1808</v>
      </c>
      <c r="B94" s="43" t="s">
        <v>2417</v>
      </c>
      <c r="C94" s="26" t="s">
        <v>2485</v>
      </c>
    </row>
    <row r="95" spans="1:3">
      <c r="A95" s="43" t="s">
        <v>1811</v>
      </c>
      <c r="B95" s="43" t="s">
        <v>2417</v>
      </c>
      <c r="C95" s="26" t="s">
        <v>2485</v>
      </c>
    </row>
    <row r="96" spans="1:3">
      <c r="A96" s="43" t="s">
        <v>1814</v>
      </c>
      <c r="B96" s="43" t="s">
        <v>2417</v>
      </c>
      <c r="C96" s="26" t="s">
        <v>2485</v>
      </c>
    </row>
    <row r="97" spans="1:3">
      <c r="A97" s="43" t="s">
        <v>1817</v>
      </c>
      <c r="B97" s="43" t="s">
        <v>2417</v>
      </c>
      <c r="C97" s="26" t="s">
        <v>2485</v>
      </c>
    </row>
    <row r="98" spans="1:3" ht="30.75">
      <c r="A98" s="43" t="s">
        <v>1820</v>
      </c>
      <c r="B98" s="43" t="s">
        <v>2417</v>
      </c>
      <c r="C98" s="26" t="s">
        <v>2486</v>
      </c>
    </row>
    <row r="99" spans="1:3" ht="30">
      <c r="A99" s="43" t="s">
        <v>1824</v>
      </c>
      <c r="B99" s="43" t="s">
        <v>2417</v>
      </c>
      <c r="C99" s="26" t="s">
        <v>2487</v>
      </c>
    </row>
    <row r="100" spans="1:3">
      <c r="A100" s="43" t="s">
        <v>1827</v>
      </c>
      <c r="B100" s="43" t="s">
        <v>2417</v>
      </c>
      <c r="C100" s="26" t="s">
        <v>2488</v>
      </c>
    </row>
    <row r="101" spans="1:3">
      <c r="A101" s="43" t="s">
        <v>1830</v>
      </c>
      <c r="B101" s="43" t="s">
        <v>2417</v>
      </c>
      <c r="C101" s="26" t="s">
        <v>2489</v>
      </c>
    </row>
    <row r="102" spans="1:3" ht="30">
      <c r="A102" s="43" t="s">
        <v>1833</v>
      </c>
      <c r="B102" s="43" t="s">
        <v>2417</v>
      </c>
      <c r="C102" s="26" t="s">
        <v>2490</v>
      </c>
    </row>
    <row r="103" spans="1:3">
      <c r="A103" s="43" t="s">
        <v>1836</v>
      </c>
      <c r="B103" s="43" t="s">
        <v>2417</v>
      </c>
      <c r="C103" s="26" t="s">
        <v>2491</v>
      </c>
    </row>
    <row r="104" spans="1:3">
      <c r="A104" s="43" t="s">
        <v>1839</v>
      </c>
      <c r="B104" s="43" t="s">
        <v>2417</v>
      </c>
      <c r="C104" s="26" t="s">
        <v>2492</v>
      </c>
    </row>
    <row r="105" spans="1:3">
      <c r="A105" s="43" t="s">
        <v>1842</v>
      </c>
      <c r="B105" s="43" t="s">
        <v>2417</v>
      </c>
      <c r="C105" s="26" t="s">
        <v>2493</v>
      </c>
    </row>
    <row r="106" spans="1:3">
      <c r="A106" s="43" t="s">
        <v>1845</v>
      </c>
      <c r="B106" s="43" t="s">
        <v>2417</v>
      </c>
      <c r="C106" s="26" t="s">
        <v>2492</v>
      </c>
    </row>
    <row r="107" spans="1:3">
      <c r="A107" s="43" t="s">
        <v>1848</v>
      </c>
      <c r="B107" s="43" t="s">
        <v>2432</v>
      </c>
      <c r="C107" s="26" t="s">
        <v>2494</v>
      </c>
    </row>
    <row r="108" spans="1:3">
      <c r="A108" s="43" t="s">
        <v>1848</v>
      </c>
      <c r="B108" s="43" t="s">
        <v>2417</v>
      </c>
      <c r="C108" s="26" t="s">
        <v>2495</v>
      </c>
    </row>
    <row r="109" spans="1:3">
      <c r="A109" s="43" t="s">
        <v>1851</v>
      </c>
      <c r="B109" s="43" t="s">
        <v>2432</v>
      </c>
      <c r="C109" s="26" t="s">
        <v>2494</v>
      </c>
    </row>
    <row r="110" spans="1:3">
      <c r="A110" s="43" t="s">
        <v>1851</v>
      </c>
      <c r="B110" s="43" t="s">
        <v>2417</v>
      </c>
      <c r="C110" s="26" t="s">
        <v>2496</v>
      </c>
    </row>
    <row r="111" spans="1:3">
      <c r="A111" s="43" t="s">
        <v>1897</v>
      </c>
      <c r="B111" s="43" t="s">
        <v>2417</v>
      </c>
      <c r="C111" s="26" t="s">
        <v>2497</v>
      </c>
    </row>
    <row r="112" spans="1:3">
      <c r="A112" s="43" t="s">
        <v>1909</v>
      </c>
      <c r="B112" s="43" t="s">
        <v>2417</v>
      </c>
      <c r="C112" s="26" t="s">
        <v>2498</v>
      </c>
    </row>
    <row r="113" spans="1:3">
      <c r="A113" s="43" t="s">
        <v>1912</v>
      </c>
      <c r="B113" s="43" t="s">
        <v>2432</v>
      </c>
      <c r="C113" s="26" t="s">
        <v>2499</v>
      </c>
    </row>
    <row r="114" spans="1:3">
      <c r="A114" s="43" t="s">
        <v>1912</v>
      </c>
      <c r="B114" s="43" t="s">
        <v>2417</v>
      </c>
      <c r="C114" s="26" t="s">
        <v>2500</v>
      </c>
    </row>
    <row r="115" spans="1:3" ht="30">
      <c r="A115" s="43" t="s">
        <v>1915</v>
      </c>
      <c r="B115" s="43" t="s">
        <v>2432</v>
      </c>
      <c r="C115" s="26" t="s">
        <v>2501</v>
      </c>
    </row>
    <row r="116" spans="1:3">
      <c r="A116" s="43" t="s">
        <v>1981</v>
      </c>
      <c r="B116" s="43" t="s">
        <v>2417</v>
      </c>
      <c r="C116" s="26" t="s">
        <v>2468</v>
      </c>
    </row>
    <row r="117" spans="1:3">
      <c r="A117" s="43" t="s">
        <v>2006</v>
      </c>
      <c r="B117" s="43" t="s">
        <v>2417</v>
      </c>
      <c r="C117" s="26" t="s">
        <v>2452</v>
      </c>
    </row>
    <row r="118" spans="1:3">
      <c r="A118" s="43" t="s">
        <v>2009</v>
      </c>
      <c r="B118" s="43" t="s">
        <v>2417</v>
      </c>
      <c r="C118" s="26" t="s">
        <v>2452</v>
      </c>
    </row>
    <row r="119" spans="1:3">
      <c r="A119" s="43" t="s">
        <v>2012</v>
      </c>
      <c r="B119" s="43" t="s">
        <v>2417</v>
      </c>
      <c r="C119" s="26" t="s">
        <v>2468</v>
      </c>
    </row>
    <row r="120" spans="1:3">
      <c r="A120" s="43" t="s">
        <v>2015</v>
      </c>
      <c r="B120" s="43" t="s">
        <v>2417</v>
      </c>
      <c r="C120" s="26" t="s">
        <v>2502</v>
      </c>
    </row>
    <row r="121" spans="1:3">
      <c r="A121" s="43" t="s">
        <v>2017</v>
      </c>
      <c r="B121" s="43" t="s">
        <v>2417</v>
      </c>
      <c r="C121" s="26" t="s">
        <v>2502</v>
      </c>
    </row>
    <row r="122" spans="1:3">
      <c r="A122" s="43" t="s">
        <v>2020</v>
      </c>
      <c r="B122" s="43" t="s">
        <v>2417</v>
      </c>
      <c r="C122" s="26" t="s">
        <v>2503</v>
      </c>
    </row>
    <row r="123" spans="1:3">
      <c r="A123" s="43" t="s">
        <v>2023</v>
      </c>
      <c r="B123" s="43" t="s">
        <v>2417</v>
      </c>
      <c r="C123" s="26" t="s">
        <v>2504</v>
      </c>
    </row>
    <row r="124" spans="1:3">
      <c r="A124" s="43" t="s">
        <v>2026</v>
      </c>
      <c r="B124" s="43" t="s">
        <v>2417</v>
      </c>
      <c r="C124" s="26" t="s">
        <v>2505</v>
      </c>
    </row>
    <row r="125" spans="1:3">
      <c r="A125" s="43" t="s">
        <v>2029</v>
      </c>
      <c r="B125" s="43" t="s">
        <v>2417</v>
      </c>
      <c r="C125" s="26" t="s">
        <v>2505</v>
      </c>
    </row>
    <row r="126" spans="1:3">
      <c r="A126" s="43" t="s">
        <v>2036</v>
      </c>
      <c r="B126" s="43" t="s">
        <v>2417</v>
      </c>
      <c r="C126" s="26" t="s">
        <v>2468</v>
      </c>
    </row>
    <row r="127" spans="1:3">
      <c r="A127" s="43" t="s">
        <v>2039</v>
      </c>
      <c r="B127" s="43" t="s">
        <v>2432</v>
      </c>
      <c r="C127" s="26" t="s">
        <v>2506</v>
      </c>
    </row>
    <row r="128" spans="1:3" ht="30">
      <c r="A128" s="43" t="s">
        <v>2039</v>
      </c>
      <c r="B128" s="43" t="s">
        <v>2417</v>
      </c>
      <c r="C128" s="26" t="s">
        <v>2507</v>
      </c>
    </row>
    <row r="129" spans="1:3">
      <c r="A129" s="43" t="s">
        <v>2043</v>
      </c>
      <c r="B129" s="43" t="s">
        <v>2417</v>
      </c>
      <c r="C129" s="26" t="s">
        <v>2508</v>
      </c>
    </row>
    <row r="130" spans="1:3">
      <c r="A130" s="43" t="s">
        <v>2046</v>
      </c>
      <c r="B130" s="43" t="s">
        <v>2417</v>
      </c>
      <c r="C130" s="26" t="s">
        <v>2509</v>
      </c>
    </row>
    <row r="131" spans="1:3">
      <c r="A131" s="43" t="s">
        <v>2049</v>
      </c>
      <c r="B131" s="43" t="s">
        <v>2417</v>
      </c>
      <c r="C131" s="26" t="s">
        <v>2510</v>
      </c>
    </row>
    <row r="132" spans="1:3">
      <c r="A132" s="43" t="s">
        <v>2055</v>
      </c>
      <c r="B132" s="43" t="s">
        <v>2417</v>
      </c>
      <c r="C132" s="26" t="s">
        <v>2497</v>
      </c>
    </row>
    <row r="133" spans="1:3">
      <c r="A133" s="43" t="s">
        <v>2058</v>
      </c>
      <c r="B133" s="43" t="s">
        <v>2432</v>
      </c>
      <c r="C133" s="26" t="s">
        <v>2511</v>
      </c>
    </row>
    <row r="134" spans="1:3">
      <c r="A134" s="43" t="s">
        <v>2058</v>
      </c>
      <c r="B134" s="43" t="s">
        <v>2417</v>
      </c>
      <c r="C134" s="26" t="s">
        <v>2512</v>
      </c>
    </row>
    <row r="135" spans="1:3">
      <c r="A135" s="43" t="s">
        <v>2061</v>
      </c>
      <c r="B135" s="43" t="s">
        <v>2432</v>
      </c>
      <c r="C135" s="26" t="s">
        <v>2513</v>
      </c>
    </row>
    <row r="136" spans="1:3">
      <c r="A136" s="43" t="s">
        <v>2061</v>
      </c>
      <c r="B136" s="43" t="s">
        <v>2417</v>
      </c>
      <c r="C136" s="26" t="s">
        <v>2514</v>
      </c>
    </row>
    <row r="137" spans="1:3">
      <c r="A137" s="43" t="s">
        <v>2064</v>
      </c>
      <c r="B137" s="43" t="s">
        <v>2417</v>
      </c>
      <c r="C137" s="26" t="s">
        <v>2497</v>
      </c>
    </row>
    <row r="138" spans="1:3">
      <c r="A138" s="43" t="s">
        <v>2067</v>
      </c>
      <c r="B138" s="43" t="s">
        <v>2417</v>
      </c>
      <c r="C138" s="26" t="s">
        <v>2515</v>
      </c>
    </row>
    <row r="139" spans="1:3">
      <c r="A139" s="43" t="s">
        <v>2070</v>
      </c>
      <c r="B139" s="43" t="s">
        <v>2417</v>
      </c>
      <c r="C139" s="26" t="s">
        <v>2516</v>
      </c>
    </row>
    <row r="140" spans="1:3">
      <c r="A140" s="43" t="s">
        <v>2073</v>
      </c>
      <c r="B140" s="43" t="s">
        <v>2432</v>
      </c>
      <c r="C140" s="26" t="s">
        <v>2517</v>
      </c>
    </row>
    <row r="141" spans="1:3">
      <c r="A141" s="43" t="s">
        <v>2073</v>
      </c>
      <c r="B141" s="43" t="s">
        <v>2417</v>
      </c>
      <c r="C141" s="26" t="s">
        <v>2497</v>
      </c>
    </row>
    <row r="142" spans="1:3">
      <c r="A142" s="43" t="s">
        <v>2076</v>
      </c>
      <c r="B142" s="43" t="s">
        <v>2417</v>
      </c>
      <c r="C142" s="26" t="s">
        <v>2518</v>
      </c>
    </row>
    <row r="143" spans="1:3">
      <c r="A143" s="43" t="s">
        <v>2079</v>
      </c>
      <c r="B143" s="43" t="s">
        <v>2432</v>
      </c>
      <c r="C143" s="26" t="s">
        <v>2519</v>
      </c>
    </row>
    <row r="144" spans="1:3">
      <c r="A144" s="43" t="s">
        <v>2082</v>
      </c>
      <c r="B144" s="43" t="s">
        <v>2417</v>
      </c>
      <c r="C144" s="26" t="s">
        <v>2520</v>
      </c>
    </row>
    <row r="145" spans="1:3">
      <c r="A145" s="43" t="s">
        <v>2085</v>
      </c>
      <c r="B145" s="43" t="s">
        <v>2417</v>
      </c>
      <c r="C145" s="26" t="s">
        <v>2521</v>
      </c>
    </row>
    <row r="146" spans="1:3">
      <c r="A146" s="43" t="s">
        <v>2111</v>
      </c>
      <c r="B146" s="43" t="s">
        <v>2417</v>
      </c>
      <c r="C146" s="26" t="s">
        <v>2522</v>
      </c>
    </row>
    <row r="147" spans="1:3">
      <c r="A147" s="43" t="s">
        <v>2120</v>
      </c>
      <c r="B147" s="43" t="s">
        <v>2432</v>
      </c>
      <c r="C147" s="26" t="s">
        <v>2523</v>
      </c>
    </row>
    <row r="148" spans="1:3">
      <c r="A148" s="43" t="s">
        <v>2120</v>
      </c>
      <c r="B148" s="43" t="s">
        <v>2417</v>
      </c>
      <c r="C148" s="26" t="s">
        <v>2472</v>
      </c>
    </row>
    <row r="149" spans="1:3">
      <c r="A149" s="43" t="s">
        <v>2137</v>
      </c>
      <c r="B149" s="43" t="s">
        <v>2417</v>
      </c>
      <c r="C149" s="26" t="s">
        <v>2524</v>
      </c>
    </row>
    <row r="150" spans="1:3">
      <c r="A150" s="43" t="s">
        <v>2146</v>
      </c>
      <c r="B150" s="43" t="s">
        <v>2417</v>
      </c>
      <c r="C150" s="26" t="s">
        <v>2525</v>
      </c>
    </row>
    <row r="151" spans="1:3">
      <c r="A151" s="43" t="s">
        <v>2150</v>
      </c>
      <c r="B151" s="43" t="s">
        <v>2417</v>
      </c>
      <c r="C151" s="26" t="s">
        <v>2526</v>
      </c>
    </row>
    <row r="152" spans="1:3">
      <c r="A152" s="43" t="s">
        <v>2154</v>
      </c>
      <c r="B152" s="43" t="s">
        <v>2417</v>
      </c>
      <c r="C152" s="26" t="s">
        <v>2527</v>
      </c>
    </row>
    <row r="153" spans="1:3">
      <c r="A153" s="43" t="s">
        <v>2157</v>
      </c>
      <c r="B153" s="43" t="s">
        <v>2417</v>
      </c>
      <c r="C153" s="26" t="s">
        <v>2528</v>
      </c>
    </row>
    <row r="154" spans="1:3">
      <c r="A154" s="43" t="s">
        <v>2160</v>
      </c>
      <c r="B154" s="43" t="s">
        <v>2432</v>
      </c>
      <c r="C154" s="26" t="s">
        <v>2529</v>
      </c>
    </row>
    <row r="155" spans="1:3">
      <c r="A155" s="43" t="s">
        <v>2160</v>
      </c>
      <c r="B155" s="43" t="s">
        <v>2417</v>
      </c>
      <c r="C155" s="26" t="s">
        <v>2530</v>
      </c>
    </row>
    <row r="156" spans="1:3">
      <c r="A156" s="43" t="s">
        <v>2164</v>
      </c>
      <c r="B156" s="43" t="s">
        <v>2432</v>
      </c>
      <c r="C156" s="26" t="s">
        <v>2531</v>
      </c>
    </row>
    <row r="157" spans="1:3">
      <c r="A157" s="43" t="s">
        <v>2164</v>
      </c>
      <c r="B157" s="43" t="s">
        <v>2417</v>
      </c>
      <c r="C157" s="26" t="s">
        <v>2532</v>
      </c>
    </row>
    <row r="158" spans="1:3">
      <c r="A158" s="43" t="s">
        <v>2167</v>
      </c>
      <c r="B158" s="43" t="s">
        <v>2417</v>
      </c>
      <c r="C158" s="26" t="s">
        <v>2533</v>
      </c>
    </row>
    <row r="159" spans="1:3" ht="30">
      <c r="A159" s="43" t="s">
        <v>2170</v>
      </c>
      <c r="B159" s="43" t="s">
        <v>2432</v>
      </c>
      <c r="C159" s="26" t="s">
        <v>2534</v>
      </c>
    </row>
    <row r="160" spans="1:3">
      <c r="A160" s="43" t="s">
        <v>2173</v>
      </c>
      <c r="B160" s="43" t="s">
        <v>2432</v>
      </c>
      <c r="C160" s="26" t="s">
        <v>2535</v>
      </c>
    </row>
    <row r="161" spans="1:3">
      <c r="A161" s="43" t="s">
        <v>2173</v>
      </c>
      <c r="B161" s="43" t="s">
        <v>2417</v>
      </c>
      <c r="C161" s="26" t="s">
        <v>2536</v>
      </c>
    </row>
    <row r="162" spans="1:3" ht="45">
      <c r="A162" s="43" t="s">
        <v>2176</v>
      </c>
      <c r="B162" s="43" t="s">
        <v>2417</v>
      </c>
      <c r="C162" s="26" t="s">
        <v>2537</v>
      </c>
    </row>
    <row r="163" spans="1:3">
      <c r="A163" s="43" t="s">
        <v>2179</v>
      </c>
      <c r="B163" s="43" t="s">
        <v>2432</v>
      </c>
      <c r="C163" s="26" t="s">
        <v>2538</v>
      </c>
    </row>
    <row r="164" spans="1:3">
      <c r="A164" s="43" t="s">
        <v>2179</v>
      </c>
      <c r="B164" s="43" t="s">
        <v>2417</v>
      </c>
      <c r="C164" s="26" t="s">
        <v>2536</v>
      </c>
    </row>
    <row r="165" spans="1:3">
      <c r="A165" s="43" t="s">
        <v>2182</v>
      </c>
      <c r="B165" s="43" t="s">
        <v>2432</v>
      </c>
      <c r="C165" s="26" t="s">
        <v>2539</v>
      </c>
    </row>
    <row r="166" spans="1:3">
      <c r="A166" s="43" t="s">
        <v>2182</v>
      </c>
      <c r="B166" s="43" t="s">
        <v>2417</v>
      </c>
      <c r="C166" s="26" t="s">
        <v>2540</v>
      </c>
    </row>
    <row r="167" spans="1:3">
      <c r="A167" s="43" t="s">
        <v>2185</v>
      </c>
      <c r="B167" s="43" t="s">
        <v>2432</v>
      </c>
      <c r="C167" s="26" t="s">
        <v>2541</v>
      </c>
    </row>
    <row r="168" spans="1:3">
      <c r="A168" s="43" t="s">
        <v>2185</v>
      </c>
      <c r="B168" s="43" t="s">
        <v>2417</v>
      </c>
      <c r="C168" s="26" t="s">
        <v>2542</v>
      </c>
    </row>
    <row r="169" spans="1:3">
      <c r="A169" s="43" t="s">
        <v>2188</v>
      </c>
      <c r="B169" s="43" t="s">
        <v>2417</v>
      </c>
      <c r="C169" s="26" t="s">
        <v>2543</v>
      </c>
    </row>
    <row r="170" spans="1:3">
      <c r="A170" s="43" t="s">
        <v>2201</v>
      </c>
      <c r="B170" s="43" t="s">
        <v>2417</v>
      </c>
      <c r="C170" s="26" t="s">
        <v>2544</v>
      </c>
    </row>
    <row r="171" spans="1:3">
      <c r="A171" s="43" t="s">
        <v>2258</v>
      </c>
      <c r="B171" s="43" t="s">
        <v>2417</v>
      </c>
      <c r="C171" s="26" t="s">
        <v>2544</v>
      </c>
    </row>
    <row r="172" spans="1:3">
      <c r="A172" s="43" t="s">
        <v>2262</v>
      </c>
      <c r="B172" s="43" t="s">
        <v>2417</v>
      </c>
      <c r="C172" s="26" t="s">
        <v>2544</v>
      </c>
    </row>
    <row r="173" spans="1:3">
      <c r="A173" s="43" t="s">
        <v>2265</v>
      </c>
      <c r="B173" s="43" t="s">
        <v>2432</v>
      </c>
      <c r="C173" s="26" t="s">
        <v>2545</v>
      </c>
    </row>
    <row r="174" spans="1:3">
      <c r="A174" s="43" t="s">
        <v>2269</v>
      </c>
      <c r="B174" s="43" t="s">
        <v>2432</v>
      </c>
      <c r="C174" s="26" t="s">
        <v>2546</v>
      </c>
    </row>
    <row r="175" spans="1:3">
      <c r="A175" s="43" t="s">
        <v>2272</v>
      </c>
      <c r="B175" s="43" t="s">
        <v>2417</v>
      </c>
      <c r="C175" s="26" t="s">
        <v>2547</v>
      </c>
    </row>
    <row r="176" spans="1:3">
      <c r="A176" s="43" t="s">
        <v>2275</v>
      </c>
      <c r="B176" s="43" t="s">
        <v>2417</v>
      </c>
      <c r="C176" s="26" t="s">
        <v>2548</v>
      </c>
    </row>
    <row r="177" spans="1:3">
      <c r="A177" s="43" t="s">
        <v>2278</v>
      </c>
      <c r="B177" s="43" t="s">
        <v>2417</v>
      </c>
      <c r="C177" s="26" t="s">
        <v>2549</v>
      </c>
    </row>
    <row r="178" spans="1:3">
      <c r="A178" s="43" t="s">
        <v>2281</v>
      </c>
      <c r="B178" s="43" t="s">
        <v>2417</v>
      </c>
      <c r="C178" s="26" t="s">
        <v>2550</v>
      </c>
    </row>
    <row r="179" spans="1:3">
      <c r="A179" s="43" t="s">
        <v>2284</v>
      </c>
      <c r="B179" s="43" t="s">
        <v>2417</v>
      </c>
      <c r="C179" s="26" t="s">
        <v>2551</v>
      </c>
    </row>
    <row r="180" spans="1:3">
      <c r="A180" s="43" t="s">
        <v>2305</v>
      </c>
      <c r="B180" s="43" t="s">
        <v>2417</v>
      </c>
      <c r="C180" s="26" t="s">
        <v>2552</v>
      </c>
    </row>
    <row r="181" spans="1:3">
      <c r="A181" s="43" t="s">
        <v>2308</v>
      </c>
      <c r="B181" s="43" t="s">
        <v>2417</v>
      </c>
      <c r="C181" s="26" t="s">
        <v>2552</v>
      </c>
    </row>
    <row r="182" spans="1:3">
      <c r="A182" s="43" t="s">
        <v>2340</v>
      </c>
      <c r="B182" s="43" t="s">
        <v>2417</v>
      </c>
      <c r="C182" s="26" t="s">
        <v>2525</v>
      </c>
    </row>
    <row r="183" spans="1:3">
      <c r="A183" s="43" t="s">
        <v>2344</v>
      </c>
      <c r="B183" s="43" t="s">
        <v>2417</v>
      </c>
      <c r="C183" s="26" t="s">
        <v>2553</v>
      </c>
    </row>
    <row r="184" spans="1:3">
      <c r="A184" s="43" t="s">
        <v>2367</v>
      </c>
      <c r="B184" s="43" t="s">
        <v>2417</v>
      </c>
      <c r="C184" s="26" t="s">
        <v>2554</v>
      </c>
    </row>
    <row r="185" spans="1:3">
      <c r="A185" s="43" t="s">
        <v>2370</v>
      </c>
      <c r="B185" s="43" t="s">
        <v>2417</v>
      </c>
      <c r="C185" s="26" t="s">
        <v>2555</v>
      </c>
    </row>
    <row r="186" spans="1:3">
      <c r="A186" s="43" t="s">
        <v>2373</v>
      </c>
      <c r="B186" s="43" t="s">
        <v>2417</v>
      </c>
      <c r="C186" s="26" t="s">
        <v>2556</v>
      </c>
    </row>
    <row r="187" spans="1:3">
      <c r="A187" s="43" t="s">
        <v>2396</v>
      </c>
      <c r="B187" s="43" t="s">
        <v>2432</v>
      </c>
      <c r="C187" s="26" t="s">
        <v>2557</v>
      </c>
    </row>
    <row r="188" spans="1:3">
      <c r="A188" s="43" t="s">
        <v>2399</v>
      </c>
      <c r="B188" s="43" t="s">
        <v>2432</v>
      </c>
      <c r="C188" s="26" t="s">
        <v>2558</v>
      </c>
    </row>
    <row r="189" spans="1:3">
      <c r="A189" s="43" t="s">
        <v>2399</v>
      </c>
      <c r="B189" s="43" t="s">
        <v>2417</v>
      </c>
      <c r="C189" s="26" t="s">
        <v>2559</v>
      </c>
    </row>
    <row r="190" spans="1:3">
      <c r="A190" s="43" t="s">
        <v>2402</v>
      </c>
      <c r="B190" s="43" t="s">
        <v>2432</v>
      </c>
      <c r="C190" s="26" t="s">
        <v>2560</v>
      </c>
    </row>
    <row r="191" spans="1:3">
      <c r="A191" s="43" t="s">
        <v>2402</v>
      </c>
      <c r="B191" s="43" t="s">
        <v>2417</v>
      </c>
      <c r="C191" s="26" t="s">
        <v>2559</v>
      </c>
    </row>
    <row r="192" spans="1:3">
      <c r="A192" s="43" t="s">
        <v>2409</v>
      </c>
      <c r="B192" s="43" t="s">
        <v>2417</v>
      </c>
      <c r="C192" s="26" t="s">
        <v>2460</v>
      </c>
    </row>
    <row r="193" spans="1:3">
      <c r="A193" s="12" t="s">
        <v>2412</v>
      </c>
      <c r="B193" s="12" t="s">
        <v>2432</v>
      </c>
      <c r="C193" s="14" t="s">
        <v>2561</v>
      </c>
    </row>
    <row r="194" spans="1:3">
      <c r="A194" s="12" t="s">
        <v>2412</v>
      </c>
      <c r="B194" s="43" t="s">
        <v>2417</v>
      </c>
      <c r="C194" s="14" t="s">
        <v>2460</v>
      </c>
    </row>
  </sheetData>
  <sortState xmlns:xlrd2="http://schemas.microsoft.com/office/spreadsheetml/2017/richdata2" ref="A2:C227">
    <sortCondition ref="A2:A227"/>
    <sortCondition ref="B2:B22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45CCE-DB85-48E6-9AA9-431717235873}">
  <dimension ref="A1:N97"/>
  <sheetViews>
    <sheetView workbookViewId="0">
      <pane ySplit="1" topLeftCell="D66" activePane="bottomLeft" state="frozen"/>
      <selection pane="bottomLeft" activeCell="A78" sqref="A78"/>
    </sheetView>
  </sheetViews>
  <sheetFormatPr defaultRowHeight="15"/>
  <cols>
    <col min="1" max="1" width="27.140625" customWidth="1"/>
    <col min="2" max="2" width="44.7109375" customWidth="1"/>
    <col min="3" max="3" width="16.28515625" style="73" customWidth="1"/>
    <col min="4" max="6" width="15.7109375" customWidth="1"/>
    <col min="7" max="7" width="68.7109375" customWidth="1"/>
    <col min="8" max="8" width="55" style="199" customWidth="1"/>
    <col min="9" max="10" width="10.85546875" style="46" bestFit="1" customWidth="1"/>
  </cols>
  <sheetData>
    <row r="1" spans="1:14">
      <c r="A1" s="12" t="s">
        <v>2562</v>
      </c>
      <c r="B1" t="s">
        <v>1</v>
      </c>
      <c r="C1" s="73" t="s">
        <v>2563</v>
      </c>
      <c r="D1" s="18" t="s">
        <v>2564</v>
      </c>
      <c r="E1" s="18" t="s">
        <v>575</v>
      </c>
      <c r="F1" s="18" t="s">
        <v>2</v>
      </c>
      <c r="G1" s="18" t="s">
        <v>2565</v>
      </c>
      <c r="H1" s="18" t="s">
        <v>2566</v>
      </c>
      <c r="I1" s="46" t="s">
        <v>2567</v>
      </c>
      <c r="J1" s="46" t="s">
        <v>46</v>
      </c>
      <c r="K1" t="s">
        <v>17</v>
      </c>
    </row>
    <row r="2" spans="1:14">
      <c r="A2" s="53">
        <v>55470</v>
      </c>
      <c r="B2" t="s">
        <v>538</v>
      </c>
      <c r="C2" s="73">
        <v>65</v>
      </c>
      <c r="D2" t="s">
        <v>18</v>
      </c>
      <c r="E2" t="s">
        <v>983</v>
      </c>
      <c r="F2" t="s">
        <v>49</v>
      </c>
      <c r="G2" t="s">
        <v>538</v>
      </c>
      <c r="H2" s="193" t="s">
        <v>541</v>
      </c>
      <c r="K2" t="b">
        <v>1</v>
      </c>
      <c r="M2" s="37"/>
      <c r="N2" s="37"/>
    </row>
    <row r="3" spans="1:14">
      <c r="A3" s="53">
        <v>55470</v>
      </c>
      <c r="B3" t="s">
        <v>538</v>
      </c>
      <c r="C3" s="73">
        <v>38</v>
      </c>
      <c r="D3" t="s">
        <v>19</v>
      </c>
      <c r="E3" t="s">
        <v>1140</v>
      </c>
      <c r="F3" t="s">
        <v>49</v>
      </c>
      <c r="G3" t="s">
        <v>538</v>
      </c>
      <c r="H3" s="194" t="s">
        <v>2568</v>
      </c>
      <c r="K3" t="b">
        <v>1</v>
      </c>
      <c r="M3" s="192"/>
      <c r="N3" s="192"/>
    </row>
    <row r="4" spans="1:14">
      <c r="A4" s="53">
        <v>55470</v>
      </c>
      <c r="B4" t="s">
        <v>538</v>
      </c>
      <c r="C4" s="73">
        <v>13</v>
      </c>
      <c r="D4" t="s">
        <v>20</v>
      </c>
      <c r="E4" t="s">
        <v>1096</v>
      </c>
      <c r="F4" t="s">
        <v>49</v>
      </c>
      <c r="G4" t="s">
        <v>538</v>
      </c>
      <c r="H4" s="194" t="s">
        <v>2569</v>
      </c>
      <c r="K4" t="b">
        <v>1</v>
      </c>
      <c r="M4" s="192"/>
      <c r="N4" s="192"/>
    </row>
    <row r="5" spans="1:14">
      <c r="A5" t="s">
        <v>93</v>
      </c>
      <c r="B5" t="s">
        <v>94</v>
      </c>
      <c r="C5" s="73" t="s">
        <v>2570</v>
      </c>
      <c r="D5" s="18" t="s">
        <v>18</v>
      </c>
      <c r="E5" s="18" t="s">
        <v>584</v>
      </c>
      <c r="F5" s="18" t="s">
        <v>49</v>
      </c>
      <c r="G5" s="18" t="s">
        <v>2571</v>
      </c>
      <c r="H5" s="193" t="s">
        <v>106</v>
      </c>
      <c r="I5" s="46">
        <v>7043.61</v>
      </c>
      <c r="J5" s="46">
        <v>18563.61</v>
      </c>
      <c r="K5" t="b">
        <v>1</v>
      </c>
      <c r="M5" s="37"/>
      <c r="N5" s="37"/>
    </row>
    <row r="6" spans="1:14">
      <c r="A6" t="s">
        <v>107</v>
      </c>
      <c r="B6" t="s">
        <v>108</v>
      </c>
      <c r="C6" s="73" t="s">
        <v>2570</v>
      </c>
      <c r="D6" s="18" t="s">
        <v>18</v>
      </c>
      <c r="E6" s="18" t="s">
        <v>612</v>
      </c>
      <c r="F6" s="18" t="s">
        <v>49</v>
      </c>
      <c r="G6" s="18" t="s">
        <v>2572</v>
      </c>
      <c r="H6" s="194" t="s">
        <v>111</v>
      </c>
      <c r="I6" s="46">
        <v>6370.53</v>
      </c>
      <c r="J6" s="46">
        <v>17890.53</v>
      </c>
      <c r="K6" t="b">
        <v>1</v>
      </c>
      <c r="M6" s="192"/>
      <c r="N6" s="192"/>
    </row>
    <row r="7" spans="1:14">
      <c r="A7" s="109" t="s">
        <v>569</v>
      </c>
      <c r="B7" s="109" t="s">
        <v>570</v>
      </c>
      <c r="C7" s="142" t="s">
        <v>2570</v>
      </c>
      <c r="D7" s="108" t="s">
        <v>18</v>
      </c>
      <c r="E7" s="108" t="s">
        <v>624</v>
      </c>
      <c r="F7" s="108" t="s">
        <v>49</v>
      </c>
      <c r="G7" s="108" t="s">
        <v>570</v>
      </c>
      <c r="H7" s="193" t="s">
        <v>2573</v>
      </c>
      <c r="M7" s="37"/>
      <c r="N7" s="37"/>
    </row>
    <row r="8" spans="1:14">
      <c r="A8" t="s">
        <v>129</v>
      </c>
      <c r="B8" t="s">
        <v>130</v>
      </c>
      <c r="C8" s="73" t="s">
        <v>2570</v>
      </c>
      <c r="D8" s="18" t="s">
        <v>18</v>
      </c>
      <c r="E8" s="18" t="s">
        <v>649</v>
      </c>
      <c r="F8" s="18" t="s">
        <v>49</v>
      </c>
      <c r="G8" s="18" t="s">
        <v>2574</v>
      </c>
      <c r="H8" s="193" t="s">
        <v>2575</v>
      </c>
      <c r="I8" s="46">
        <v>7053.87</v>
      </c>
      <c r="J8" s="46">
        <v>18573.87</v>
      </c>
      <c r="K8" t="b">
        <v>1</v>
      </c>
      <c r="M8" s="37"/>
      <c r="N8" s="37"/>
    </row>
    <row r="9" spans="1:14">
      <c r="A9" s="64" t="s">
        <v>135</v>
      </c>
      <c r="B9" s="64" t="s">
        <v>136</v>
      </c>
      <c r="C9" s="73">
        <v>77</v>
      </c>
      <c r="D9" s="18" t="s">
        <v>18</v>
      </c>
      <c r="E9" s="18" t="s">
        <v>658</v>
      </c>
      <c r="F9" s="18" t="s">
        <v>49</v>
      </c>
      <c r="G9" s="18" t="s">
        <v>2576</v>
      </c>
      <c r="H9" s="193" t="s">
        <v>138</v>
      </c>
      <c r="I9" s="46">
        <v>7053.87</v>
      </c>
      <c r="J9" s="46">
        <v>18573.87</v>
      </c>
      <c r="K9" t="b">
        <v>1</v>
      </c>
      <c r="M9" s="37"/>
      <c r="N9" s="37"/>
    </row>
    <row r="10" spans="1:14">
      <c r="A10" t="s">
        <v>124</v>
      </c>
      <c r="B10" t="s">
        <v>125</v>
      </c>
      <c r="C10" s="73">
        <v>60</v>
      </c>
      <c r="D10" s="18" t="s">
        <v>18</v>
      </c>
      <c r="E10" s="18" t="s">
        <v>679</v>
      </c>
      <c r="F10" s="18" t="s">
        <v>49</v>
      </c>
      <c r="G10" s="18" t="s">
        <v>2577</v>
      </c>
      <c r="H10" s="193" t="s">
        <v>2578</v>
      </c>
      <c r="K10" t="b">
        <v>1</v>
      </c>
      <c r="M10" s="37"/>
      <c r="N10" s="37"/>
    </row>
    <row r="11" spans="1:14">
      <c r="A11" t="s">
        <v>112</v>
      </c>
      <c r="B11" t="s">
        <v>113</v>
      </c>
      <c r="C11" s="73">
        <v>60</v>
      </c>
      <c r="D11" s="18" t="s">
        <v>18</v>
      </c>
      <c r="E11" s="18" t="s">
        <v>684</v>
      </c>
      <c r="F11" s="18" t="s">
        <v>49</v>
      </c>
      <c r="G11" s="143" t="s">
        <v>2579</v>
      </c>
      <c r="H11" s="193" t="s">
        <v>119</v>
      </c>
      <c r="I11" s="46">
        <v>6222.41</v>
      </c>
      <c r="J11" s="46">
        <v>17934.41</v>
      </c>
      <c r="M11" s="37"/>
      <c r="N11" s="37"/>
    </row>
    <row r="12" spans="1:14">
      <c r="A12" t="s">
        <v>120</v>
      </c>
      <c r="B12" t="s">
        <v>121</v>
      </c>
      <c r="C12" s="73" t="s">
        <v>2570</v>
      </c>
      <c r="D12" s="18" t="s">
        <v>18</v>
      </c>
      <c r="E12" s="18" t="s">
        <v>697</v>
      </c>
      <c r="F12" s="18" t="s">
        <v>49</v>
      </c>
      <c r="G12" s="143" t="s">
        <v>2580</v>
      </c>
      <c r="H12" s="193" t="s">
        <v>2581</v>
      </c>
      <c r="I12" s="46">
        <v>7640.11</v>
      </c>
      <c r="J12" s="46">
        <v>19928.11</v>
      </c>
      <c r="M12" s="37"/>
      <c r="N12" s="37"/>
    </row>
    <row r="13" spans="1:14">
      <c r="A13" t="s">
        <v>161</v>
      </c>
      <c r="B13" t="s">
        <v>162</v>
      </c>
      <c r="C13" s="73" t="s">
        <v>2582</v>
      </c>
      <c r="D13" s="18" t="s">
        <v>18</v>
      </c>
      <c r="E13" s="18" t="s">
        <v>706</v>
      </c>
      <c r="F13" s="18" t="s">
        <v>49</v>
      </c>
      <c r="G13" s="18" t="s">
        <v>2583</v>
      </c>
      <c r="H13" s="193" t="s">
        <v>167</v>
      </c>
      <c r="I13" s="46">
        <v>6295.36</v>
      </c>
      <c r="J13" s="46">
        <v>17431.36</v>
      </c>
      <c r="K13" t="b">
        <v>1</v>
      </c>
      <c r="M13" s="37"/>
      <c r="N13" s="37"/>
    </row>
    <row r="14" spans="1:14">
      <c r="A14" t="s">
        <v>161</v>
      </c>
      <c r="B14" t="s">
        <v>162</v>
      </c>
      <c r="C14" s="73" t="s">
        <v>2584</v>
      </c>
      <c r="D14" s="18" t="s">
        <v>18</v>
      </c>
      <c r="E14" s="18" t="s">
        <v>726</v>
      </c>
      <c r="F14" s="18" t="s">
        <v>49</v>
      </c>
      <c r="G14" s="18" t="s">
        <v>2585</v>
      </c>
      <c r="H14" s="193" t="s">
        <v>2586</v>
      </c>
      <c r="I14" s="46">
        <v>6526.38</v>
      </c>
      <c r="J14" s="46">
        <v>18238.38</v>
      </c>
      <c r="K14" t="b">
        <v>1</v>
      </c>
      <c r="M14" s="37"/>
      <c r="N14" s="37"/>
    </row>
    <row r="15" spans="1:14">
      <c r="A15" t="s">
        <v>161</v>
      </c>
      <c r="B15" t="s">
        <v>162</v>
      </c>
      <c r="C15" s="73">
        <v>18</v>
      </c>
      <c r="D15" s="18" t="s">
        <v>20</v>
      </c>
      <c r="E15" s="18" t="s">
        <v>995</v>
      </c>
      <c r="F15" s="18" t="s">
        <v>49</v>
      </c>
      <c r="G15" s="18" t="s">
        <v>2587</v>
      </c>
      <c r="H15" s="193" t="s">
        <v>2588</v>
      </c>
      <c r="I15" s="46">
        <v>2061.8000000000002</v>
      </c>
      <c r="J15" s="46">
        <v>5517.8</v>
      </c>
      <c r="K15" t="b">
        <v>1</v>
      </c>
      <c r="M15" s="37"/>
      <c r="N15" s="37"/>
    </row>
    <row r="16" spans="1:14">
      <c r="A16" s="7" t="s">
        <v>161</v>
      </c>
      <c r="B16" s="7" t="s">
        <v>162</v>
      </c>
      <c r="C16" s="74">
        <v>18</v>
      </c>
      <c r="D16" s="54" t="s">
        <v>20</v>
      </c>
      <c r="E16" s="18" t="s">
        <v>1004</v>
      </c>
      <c r="F16" s="18" t="s">
        <v>49</v>
      </c>
      <c r="G16" s="18" t="s">
        <v>2589</v>
      </c>
      <c r="H16" s="193" t="s">
        <v>2590</v>
      </c>
      <c r="I16" s="46">
        <v>1961.41</v>
      </c>
      <c r="J16" s="46">
        <v>5417.41</v>
      </c>
      <c r="K16" t="b">
        <v>1</v>
      </c>
      <c r="M16" s="37"/>
      <c r="N16" s="37"/>
    </row>
    <row r="17" spans="1:14">
      <c r="A17" t="s">
        <v>161</v>
      </c>
      <c r="B17" t="s">
        <v>162</v>
      </c>
      <c r="C17" s="73">
        <v>16</v>
      </c>
      <c r="D17" s="18" t="s">
        <v>20</v>
      </c>
      <c r="E17" s="18" t="s">
        <v>1007</v>
      </c>
      <c r="F17" s="18" t="s">
        <v>49</v>
      </c>
      <c r="G17" s="18" t="s">
        <v>2585</v>
      </c>
      <c r="H17" s="193" t="s">
        <v>2591</v>
      </c>
      <c r="I17" s="46">
        <v>2209.15</v>
      </c>
      <c r="J17" s="46">
        <v>5281.15</v>
      </c>
      <c r="K17" t="b">
        <v>1</v>
      </c>
      <c r="M17" s="37"/>
      <c r="N17" s="37"/>
    </row>
    <row r="18" spans="1:14">
      <c r="A18" t="s">
        <v>161</v>
      </c>
      <c r="B18" t="s">
        <v>162</v>
      </c>
      <c r="C18" s="73">
        <v>16</v>
      </c>
      <c r="D18" s="18" t="s">
        <v>20</v>
      </c>
      <c r="E18" s="18" t="s">
        <v>1000</v>
      </c>
      <c r="F18" s="18" t="s">
        <v>49</v>
      </c>
      <c r="G18" s="18" t="s">
        <v>2592</v>
      </c>
      <c r="H18" s="193" t="s">
        <v>2593</v>
      </c>
      <c r="I18" s="46">
        <v>1962.56</v>
      </c>
      <c r="J18" s="46">
        <v>5034.5600000000004</v>
      </c>
      <c r="K18" t="b">
        <v>1</v>
      </c>
      <c r="M18" s="37"/>
      <c r="N18" s="37"/>
    </row>
    <row r="19" spans="1:14">
      <c r="A19" t="s">
        <v>295</v>
      </c>
      <c r="B19" t="s">
        <v>2594</v>
      </c>
      <c r="C19" s="73" t="s">
        <v>2595</v>
      </c>
      <c r="D19" s="18" t="s">
        <v>18</v>
      </c>
      <c r="E19" s="18" t="s">
        <v>734</v>
      </c>
      <c r="F19" s="18" t="s">
        <v>49</v>
      </c>
      <c r="G19" s="18" t="s">
        <v>2596</v>
      </c>
      <c r="H19" s="193" t="s">
        <v>2597</v>
      </c>
      <c r="I19" s="46">
        <v>6812.22</v>
      </c>
      <c r="J19" s="46">
        <v>18908.22</v>
      </c>
      <c r="K19" t="b">
        <v>1</v>
      </c>
      <c r="M19" s="37"/>
      <c r="N19" s="37"/>
    </row>
    <row r="20" spans="1:14">
      <c r="A20" t="s">
        <v>295</v>
      </c>
      <c r="B20" t="s">
        <v>2594</v>
      </c>
      <c r="C20" s="73">
        <v>17</v>
      </c>
      <c r="D20" s="18" t="s">
        <v>20</v>
      </c>
      <c r="E20" s="18" t="s">
        <v>1009</v>
      </c>
      <c r="F20" s="18" t="s">
        <v>49</v>
      </c>
      <c r="G20" s="18" t="s">
        <v>2596</v>
      </c>
      <c r="H20" s="193" t="s">
        <v>2598</v>
      </c>
      <c r="I20" s="46">
        <v>2284.16</v>
      </c>
      <c r="J20" s="46">
        <v>5548.16</v>
      </c>
      <c r="K20" t="b">
        <v>1</v>
      </c>
      <c r="M20" s="37"/>
      <c r="N20" s="37"/>
    </row>
    <row r="21" spans="1:14">
      <c r="A21" s="109" t="s">
        <v>446</v>
      </c>
      <c r="B21" s="109" t="s">
        <v>447</v>
      </c>
      <c r="C21" s="142" t="s">
        <v>2599</v>
      </c>
      <c r="D21" s="108" t="s">
        <v>18</v>
      </c>
      <c r="E21" s="108" t="s">
        <v>2600</v>
      </c>
      <c r="F21" s="108" t="s">
        <v>70</v>
      </c>
      <c r="G21" s="141" t="s">
        <v>2601</v>
      </c>
      <c r="H21" s="195" t="s">
        <v>449</v>
      </c>
      <c r="I21" s="191">
        <v>7058.75</v>
      </c>
      <c r="J21" s="191">
        <v>19154.75</v>
      </c>
      <c r="K21" s="109" t="b">
        <v>1</v>
      </c>
      <c r="M21" s="63"/>
      <c r="N21" s="63"/>
    </row>
    <row r="22" spans="1:14">
      <c r="A22" s="109" t="s">
        <v>446</v>
      </c>
      <c r="B22" s="109" t="s">
        <v>447</v>
      </c>
      <c r="C22" s="142">
        <v>18</v>
      </c>
      <c r="D22" s="108" t="s">
        <v>20</v>
      </c>
      <c r="E22" s="108" t="s">
        <v>2602</v>
      </c>
      <c r="F22" s="108" t="s">
        <v>70</v>
      </c>
      <c r="G22" s="141" t="s">
        <v>2601</v>
      </c>
      <c r="H22" s="195" t="s">
        <v>2603</v>
      </c>
      <c r="I22" s="191">
        <v>2131.56</v>
      </c>
      <c r="J22" s="191">
        <v>5587.56</v>
      </c>
      <c r="K22" s="109" t="b">
        <v>1</v>
      </c>
      <c r="M22" s="63"/>
      <c r="N22" s="63"/>
    </row>
    <row r="23" spans="1:14">
      <c r="A23" s="109" t="s">
        <v>446</v>
      </c>
      <c r="B23" s="109" t="s">
        <v>447</v>
      </c>
      <c r="C23" s="142">
        <v>18</v>
      </c>
      <c r="D23" s="108" t="s">
        <v>20</v>
      </c>
      <c r="E23" s="108" t="s">
        <v>2604</v>
      </c>
      <c r="F23" s="108" t="s">
        <v>70</v>
      </c>
      <c r="G23" s="141" t="s">
        <v>2605</v>
      </c>
      <c r="H23" s="195" t="s">
        <v>2606</v>
      </c>
      <c r="I23" s="191">
        <v>1903.06</v>
      </c>
      <c r="J23" s="191">
        <v>5359.06</v>
      </c>
      <c r="K23" s="109" t="b">
        <v>1</v>
      </c>
      <c r="M23" s="63"/>
      <c r="N23" s="63"/>
    </row>
    <row r="24" spans="1:14">
      <c r="A24" t="s">
        <v>336</v>
      </c>
      <c r="B24" t="s">
        <v>337</v>
      </c>
      <c r="C24" s="73" t="s">
        <v>2607</v>
      </c>
      <c r="D24" s="18" t="s">
        <v>18</v>
      </c>
      <c r="E24" s="18" t="s">
        <v>762</v>
      </c>
      <c r="F24" s="18" t="s">
        <v>49</v>
      </c>
      <c r="G24" s="18" t="s">
        <v>2608</v>
      </c>
      <c r="H24" s="193" t="s">
        <v>2609</v>
      </c>
      <c r="I24" s="46">
        <v>6247.37</v>
      </c>
      <c r="J24" s="46">
        <v>18535.37</v>
      </c>
      <c r="K24" t="b">
        <v>1</v>
      </c>
      <c r="M24" s="37"/>
      <c r="N24" s="37"/>
    </row>
    <row r="25" spans="1:14">
      <c r="A25" t="s">
        <v>336</v>
      </c>
      <c r="B25" t="s">
        <v>337</v>
      </c>
      <c r="C25" s="73" t="s">
        <v>2607</v>
      </c>
      <c r="D25" s="18" t="s">
        <v>18</v>
      </c>
      <c r="E25" s="18" t="s">
        <v>770</v>
      </c>
      <c r="F25" s="18" t="s">
        <v>49</v>
      </c>
      <c r="G25" s="18" t="s">
        <v>2610</v>
      </c>
      <c r="H25" s="193" t="s">
        <v>2611</v>
      </c>
      <c r="I25" s="46">
        <v>5975.87</v>
      </c>
      <c r="J25" s="46">
        <v>18263.87</v>
      </c>
      <c r="K25" t="b">
        <v>1</v>
      </c>
      <c r="M25" s="37"/>
      <c r="N25" s="37"/>
    </row>
    <row r="26" spans="1:14">
      <c r="A26" t="s">
        <v>336</v>
      </c>
      <c r="B26" t="s">
        <v>337</v>
      </c>
      <c r="C26" s="73" t="s">
        <v>2595</v>
      </c>
      <c r="D26" s="18" t="s">
        <v>18</v>
      </c>
      <c r="E26" s="18" t="s">
        <v>777</v>
      </c>
      <c r="F26" s="18" t="s">
        <v>49</v>
      </c>
      <c r="G26" s="18" t="s">
        <v>2612</v>
      </c>
      <c r="H26" s="193" t="s">
        <v>2613</v>
      </c>
      <c r="K26" t="b">
        <v>1</v>
      </c>
      <c r="M26" s="37"/>
      <c r="N26" s="37"/>
    </row>
    <row r="27" spans="1:14">
      <c r="A27" t="s">
        <v>336</v>
      </c>
      <c r="B27" t="s">
        <v>337</v>
      </c>
      <c r="C27" s="73">
        <v>46</v>
      </c>
      <c r="D27" s="18" t="s">
        <v>19</v>
      </c>
      <c r="E27" s="18" t="s">
        <v>1113</v>
      </c>
      <c r="F27" s="18" t="s">
        <v>49</v>
      </c>
      <c r="G27" s="18" t="s">
        <v>2608</v>
      </c>
      <c r="H27" s="193" t="s">
        <v>2614</v>
      </c>
      <c r="K27" t="b">
        <v>1</v>
      </c>
      <c r="M27" s="37"/>
      <c r="N27" s="37"/>
    </row>
    <row r="28" spans="1:14">
      <c r="A28" t="s">
        <v>336</v>
      </c>
      <c r="B28" t="s">
        <v>337</v>
      </c>
      <c r="C28" s="73">
        <v>46</v>
      </c>
      <c r="D28" s="18" t="s">
        <v>19</v>
      </c>
      <c r="E28" s="18" t="s">
        <v>1116</v>
      </c>
      <c r="F28" s="18" t="s">
        <v>49</v>
      </c>
      <c r="G28" s="18" t="s">
        <v>2610</v>
      </c>
      <c r="H28" s="193" t="s">
        <v>2615</v>
      </c>
      <c r="K28" t="b">
        <v>1</v>
      </c>
      <c r="M28" s="37"/>
      <c r="N28" s="37"/>
    </row>
    <row r="29" spans="1:14">
      <c r="A29" t="s">
        <v>336</v>
      </c>
      <c r="B29" t="s">
        <v>337</v>
      </c>
      <c r="C29" s="73">
        <v>46</v>
      </c>
      <c r="D29" s="18" t="s">
        <v>19</v>
      </c>
      <c r="E29" s="18" t="s">
        <v>1119</v>
      </c>
      <c r="F29" s="18" t="s">
        <v>49</v>
      </c>
      <c r="G29" s="18" t="s">
        <v>2612</v>
      </c>
      <c r="H29" s="193" t="s">
        <v>2616</v>
      </c>
      <c r="K29" t="b">
        <v>1</v>
      </c>
      <c r="M29" s="37"/>
      <c r="N29" s="37"/>
    </row>
    <row r="30" spans="1:14">
      <c r="A30" t="s">
        <v>336</v>
      </c>
      <c r="B30" t="s">
        <v>337</v>
      </c>
      <c r="C30" s="73">
        <v>18</v>
      </c>
      <c r="D30" s="18" t="s">
        <v>20</v>
      </c>
      <c r="E30" s="18" t="s">
        <v>1018</v>
      </c>
      <c r="F30" s="18" t="s">
        <v>49</v>
      </c>
      <c r="G30" s="18" t="s">
        <v>2617</v>
      </c>
      <c r="H30" s="193" t="s">
        <v>2618</v>
      </c>
      <c r="K30" t="b">
        <v>1</v>
      </c>
      <c r="M30" s="37"/>
      <c r="N30" s="37"/>
    </row>
    <row r="31" spans="1:14">
      <c r="A31" t="s">
        <v>336</v>
      </c>
      <c r="B31" t="s">
        <v>337</v>
      </c>
      <c r="C31" s="73">
        <v>12</v>
      </c>
      <c r="D31" s="18" t="s">
        <v>20</v>
      </c>
      <c r="E31" s="18" t="s">
        <v>1022</v>
      </c>
      <c r="F31" s="18" t="s">
        <v>49</v>
      </c>
      <c r="G31" s="18" t="s">
        <v>2619</v>
      </c>
      <c r="H31" s="193" t="s">
        <v>2620</v>
      </c>
      <c r="K31" t="b">
        <v>1</v>
      </c>
      <c r="M31" s="37"/>
      <c r="N31" s="37"/>
    </row>
    <row r="32" spans="1:14">
      <c r="A32" t="s">
        <v>336</v>
      </c>
      <c r="B32" t="s">
        <v>337</v>
      </c>
      <c r="C32" s="73">
        <v>18</v>
      </c>
      <c r="D32" s="18" t="s">
        <v>20</v>
      </c>
      <c r="E32" s="18" t="s">
        <v>1025</v>
      </c>
      <c r="F32" s="18" t="s">
        <v>49</v>
      </c>
      <c r="G32" s="18" t="s">
        <v>2621</v>
      </c>
      <c r="H32" s="193" t="s">
        <v>2622</v>
      </c>
      <c r="K32" t="b">
        <v>1</v>
      </c>
      <c r="M32" s="37"/>
      <c r="N32" s="37"/>
    </row>
    <row r="33" spans="1:14">
      <c r="A33" t="s">
        <v>336</v>
      </c>
      <c r="B33" t="s">
        <v>337</v>
      </c>
      <c r="C33" s="73">
        <v>18</v>
      </c>
      <c r="D33" s="18" t="s">
        <v>20</v>
      </c>
      <c r="E33" s="18" t="s">
        <v>1029</v>
      </c>
      <c r="F33" s="18" t="s">
        <v>49</v>
      </c>
      <c r="G33" s="18" t="s">
        <v>2623</v>
      </c>
      <c r="H33" s="193" t="s">
        <v>2624</v>
      </c>
      <c r="K33" t="b">
        <v>1</v>
      </c>
      <c r="M33" s="37"/>
      <c r="N33" s="37"/>
    </row>
    <row r="34" spans="1:14">
      <c r="A34" t="s">
        <v>336</v>
      </c>
      <c r="B34" t="s">
        <v>337</v>
      </c>
      <c r="C34" s="73">
        <v>18</v>
      </c>
      <c r="D34" s="18" t="s">
        <v>20</v>
      </c>
      <c r="E34" s="228" t="s">
        <v>1032</v>
      </c>
      <c r="F34" s="228" t="s">
        <v>49</v>
      </c>
      <c r="G34" s="228" t="s">
        <v>2625</v>
      </c>
      <c r="H34" s="193" t="s">
        <v>2626</v>
      </c>
      <c r="K34" t="b">
        <v>1</v>
      </c>
      <c r="M34" s="37"/>
      <c r="N34" s="37"/>
    </row>
    <row r="35" spans="1:14">
      <c r="A35" t="s">
        <v>336</v>
      </c>
      <c r="B35" t="s">
        <v>337</v>
      </c>
      <c r="C35" s="73">
        <v>18</v>
      </c>
      <c r="D35" s="18" t="s">
        <v>20</v>
      </c>
      <c r="E35" s="228" t="s">
        <v>1034</v>
      </c>
      <c r="F35" s="228" t="s">
        <v>49</v>
      </c>
      <c r="G35" s="228" t="s">
        <v>2627</v>
      </c>
      <c r="H35" s="193" t="s">
        <v>2628</v>
      </c>
      <c r="K35" t="b">
        <v>1</v>
      </c>
      <c r="M35" s="37"/>
      <c r="N35" s="37"/>
    </row>
    <row r="36" spans="1:14">
      <c r="A36" t="s">
        <v>336</v>
      </c>
      <c r="B36" t="s">
        <v>337</v>
      </c>
      <c r="C36" s="73">
        <v>12</v>
      </c>
      <c r="D36" s="18" t="s">
        <v>20</v>
      </c>
      <c r="E36" s="228" t="s">
        <v>1037</v>
      </c>
      <c r="F36" s="228" t="s">
        <v>49</v>
      </c>
      <c r="G36" s="228" t="s">
        <v>2629</v>
      </c>
      <c r="H36" s="193" t="s">
        <v>2630</v>
      </c>
      <c r="K36" t="b">
        <v>1</v>
      </c>
      <c r="M36" s="37"/>
      <c r="N36" s="37"/>
    </row>
    <row r="37" spans="1:14">
      <c r="A37" t="s">
        <v>200</v>
      </c>
      <c r="B37" t="s">
        <v>201</v>
      </c>
      <c r="C37" s="73" t="s">
        <v>2607</v>
      </c>
      <c r="D37" s="18" t="s">
        <v>18</v>
      </c>
      <c r="E37" s="18" t="s">
        <v>749</v>
      </c>
      <c r="F37" s="18" t="s">
        <v>49</v>
      </c>
      <c r="G37" s="18" t="s">
        <v>2631</v>
      </c>
      <c r="H37" s="196" t="s">
        <v>2632</v>
      </c>
      <c r="I37" s="46">
        <v>6200.36</v>
      </c>
      <c r="J37" s="46">
        <v>18488.36</v>
      </c>
      <c r="K37" t="b">
        <v>1</v>
      </c>
      <c r="M37" s="63"/>
      <c r="N37" s="63"/>
    </row>
    <row r="38" spans="1:14">
      <c r="A38" t="s">
        <v>200</v>
      </c>
      <c r="B38" t="s">
        <v>201</v>
      </c>
      <c r="C38" s="73">
        <v>46</v>
      </c>
      <c r="D38" s="18" t="s">
        <v>19</v>
      </c>
      <c r="E38" s="18" t="s">
        <v>1110</v>
      </c>
      <c r="F38" s="18" t="s">
        <v>49</v>
      </c>
      <c r="G38" s="18" t="s">
        <v>2631</v>
      </c>
      <c r="H38" s="196" t="s">
        <v>2633</v>
      </c>
      <c r="I38" s="46">
        <v>4518.87</v>
      </c>
      <c r="J38" s="46">
        <v>13350.87</v>
      </c>
      <c r="K38" t="b">
        <v>1</v>
      </c>
      <c r="M38" s="63"/>
      <c r="N38" s="63"/>
    </row>
    <row r="39" spans="1:14">
      <c r="A39" t="s">
        <v>200</v>
      </c>
      <c r="B39" t="s">
        <v>201</v>
      </c>
      <c r="C39" s="73">
        <v>18</v>
      </c>
      <c r="D39" s="18" t="s">
        <v>20</v>
      </c>
      <c r="E39" s="18" t="s">
        <v>1012</v>
      </c>
      <c r="F39" s="18" t="s">
        <v>49</v>
      </c>
      <c r="G39" s="18" t="s">
        <v>2634</v>
      </c>
      <c r="H39" s="196" t="s">
        <v>2635</v>
      </c>
      <c r="K39" t="b">
        <v>1</v>
      </c>
      <c r="M39" s="63"/>
      <c r="N39" s="63"/>
    </row>
    <row r="40" spans="1:14">
      <c r="A40" t="s">
        <v>200</v>
      </c>
      <c r="B40" t="s">
        <v>201</v>
      </c>
      <c r="C40" s="73">
        <v>12</v>
      </c>
      <c r="D40" s="18" t="s">
        <v>20</v>
      </c>
      <c r="E40" s="18" t="s">
        <v>1016</v>
      </c>
      <c r="F40" s="18" t="s">
        <v>49</v>
      </c>
      <c r="G40" s="18" t="s">
        <v>2636</v>
      </c>
      <c r="H40" s="196" t="s">
        <v>2637</v>
      </c>
      <c r="K40" t="b">
        <v>1</v>
      </c>
      <c r="M40" s="63"/>
      <c r="N40" s="63"/>
    </row>
    <row r="41" spans="1:14">
      <c r="A41" t="s">
        <v>47</v>
      </c>
      <c r="B41" t="s">
        <v>48</v>
      </c>
      <c r="C41" s="73" t="s">
        <v>2638</v>
      </c>
      <c r="D41" s="18" t="s">
        <v>18</v>
      </c>
      <c r="E41" s="18" t="s">
        <v>785</v>
      </c>
      <c r="F41" s="18" t="s">
        <v>49</v>
      </c>
      <c r="G41" s="18" t="s">
        <v>2639</v>
      </c>
      <c r="H41" s="193" t="s">
        <v>61</v>
      </c>
      <c r="I41" s="46">
        <v>6838.04</v>
      </c>
      <c r="J41" s="46">
        <v>19126.04</v>
      </c>
      <c r="K41" t="b">
        <v>1</v>
      </c>
      <c r="M41" s="37"/>
      <c r="N41" s="37"/>
    </row>
    <row r="42" spans="1:14">
      <c r="A42" t="s">
        <v>47</v>
      </c>
      <c r="B42" t="s">
        <v>48</v>
      </c>
      <c r="C42" s="73" t="s">
        <v>2640</v>
      </c>
      <c r="D42" s="18" t="s">
        <v>20</v>
      </c>
      <c r="E42" s="18" t="s">
        <v>1039</v>
      </c>
      <c r="F42" s="18" t="s">
        <v>49</v>
      </c>
      <c r="G42" s="18" t="s">
        <v>2641</v>
      </c>
      <c r="H42" s="193" t="s">
        <v>2642</v>
      </c>
      <c r="I42" s="46">
        <v>2237.56</v>
      </c>
      <c r="J42" s="46">
        <v>6077.56</v>
      </c>
      <c r="K42" t="b">
        <v>1</v>
      </c>
      <c r="M42" s="37"/>
      <c r="N42" s="37"/>
    </row>
    <row r="43" spans="1:14">
      <c r="A43" t="s">
        <v>47</v>
      </c>
      <c r="B43" t="s">
        <v>48</v>
      </c>
      <c r="C43" s="73">
        <v>18</v>
      </c>
      <c r="D43" s="18" t="s">
        <v>20</v>
      </c>
      <c r="E43" s="18" t="s">
        <v>1043</v>
      </c>
      <c r="F43" s="18" t="s">
        <v>49</v>
      </c>
      <c r="G43" s="18" t="s">
        <v>2643</v>
      </c>
      <c r="H43" s="193" t="s">
        <v>2644</v>
      </c>
      <c r="I43" s="46">
        <v>2079.0700000000002</v>
      </c>
      <c r="J43" s="46">
        <v>5535.07</v>
      </c>
      <c r="K43" t="b">
        <v>1</v>
      </c>
      <c r="M43" s="37"/>
      <c r="N43" s="37"/>
    </row>
    <row r="44" spans="1:14">
      <c r="A44" t="s">
        <v>47</v>
      </c>
      <c r="B44" t="s">
        <v>48</v>
      </c>
      <c r="C44" s="73">
        <v>17</v>
      </c>
      <c r="D44" s="18" t="s">
        <v>20</v>
      </c>
      <c r="E44" s="18" t="s">
        <v>1045</v>
      </c>
      <c r="F44" s="18" t="s">
        <v>49</v>
      </c>
      <c r="G44" s="18" t="s">
        <v>2645</v>
      </c>
      <c r="H44" s="193" t="s">
        <v>2646</v>
      </c>
      <c r="I44" s="46">
        <v>2239.56</v>
      </c>
      <c r="J44" s="46">
        <v>5503.56</v>
      </c>
      <c r="K44" t="b">
        <v>1</v>
      </c>
      <c r="M44" s="37"/>
      <c r="N44" s="37"/>
    </row>
    <row r="45" spans="1:14">
      <c r="A45" t="s">
        <v>47</v>
      </c>
      <c r="B45" t="s">
        <v>48</v>
      </c>
      <c r="C45" s="73">
        <v>16</v>
      </c>
      <c r="D45" s="18" t="s">
        <v>20</v>
      </c>
      <c r="E45" s="18" t="s">
        <v>1048</v>
      </c>
      <c r="F45" s="18" t="s">
        <v>49</v>
      </c>
      <c r="G45" s="18" t="s">
        <v>2647</v>
      </c>
      <c r="H45" s="193" t="s">
        <v>2648</v>
      </c>
      <c r="I45" s="46">
        <v>1674.81</v>
      </c>
      <c r="J45" s="46">
        <v>4746.8100000000004</v>
      </c>
      <c r="K45" t="b">
        <v>1</v>
      </c>
      <c r="M45" s="37"/>
      <c r="N45" s="37"/>
    </row>
    <row r="46" spans="1:14">
      <c r="A46" t="s">
        <v>74</v>
      </c>
      <c r="B46" t="s">
        <v>75</v>
      </c>
      <c r="C46" s="73">
        <v>65</v>
      </c>
      <c r="D46" s="18" t="s">
        <v>18</v>
      </c>
      <c r="E46" s="18" t="s">
        <v>794</v>
      </c>
      <c r="F46" s="18" t="s">
        <v>49</v>
      </c>
      <c r="G46" s="18" t="s">
        <v>2649</v>
      </c>
      <c r="H46" s="193" t="s">
        <v>2650</v>
      </c>
      <c r="I46" s="46">
        <v>6005.81</v>
      </c>
      <c r="J46" s="46">
        <v>18101.810000000001</v>
      </c>
      <c r="M46" s="37"/>
      <c r="N46" s="37"/>
    </row>
    <row r="47" spans="1:14">
      <c r="A47" t="s">
        <v>74</v>
      </c>
      <c r="B47" t="s">
        <v>75</v>
      </c>
      <c r="C47" s="73">
        <v>37</v>
      </c>
      <c r="D47" s="18" t="s">
        <v>19</v>
      </c>
      <c r="E47" s="18" t="s">
        <v>1123</v>
      </c>
      <c r="F47" s="18" t="s">
        <v>49</v>
      </c>
      <c r="G47" s="18" t="s">
        <v>2649</v>
      </c>
      <c r="H47" s="193" t="s">
        <v>2651</v>
      </c>
      <c r="M47" s="37"/>
      <c r="N47" s="37"/>
    </row>
    <row r="48" spans="1:14">
      <c r="A48" t="s">
        <v>74</v>
      </c>
      <c r="B48" t="s">
        <v>75</v>
      </c>
      <c r="C48" s="73">
        <v>13</v>
      </c>
      <c r="D48" s="18" t="s">
        <v>20</v>
      </c>
      <c r="E48" s="18" t="s">
        <v>1050</v>
      </c>
      <c r="F48" s="18" t="s">
        <v>49</v>
      </c>
      <c r="G48" s="18" t="s">
        <v>2652</v>
      </c>
      <c r="H48" s="193" t="s">
        <v>2653</v>
      </c>
      <c r="M48" s="37"/>
      <c r="N48" s="37"/>
    </row>
    <row r="49" spans="1:14">
      <c r="A49" t="s">
        <v>74</v>
      </c>
      <c r="B49" t="s">
        <v>75</v>
      </c>
      <c r="C49" s="73">
        <v>17</v>
      </c>
      <c r="D49" s="18" t="s">
        <v>20</v>
      </c>
      <c r="E49" s="18" t="s">
        <v>1053</v>
      </c>
      <c r="F49" s="18" t="s">
        <v>49</v>
      </c>
      <c r="G49" s="18" t="s">
        <v>2654</v>
      </c>
      <c r="H49" s="193" t="s">
        <v>79</v>
      </c>
      <c r="M49" s="37"/>
      <c r="N49" s="37"/>
    </row>
    <row r="50" spans="1:14">
      <c r="A50" t="s">
        <v>174</v>
      </c>
      <c r="B50" t="s">
        <v>175</v>
      </c>
      <c r="C50" s="73">
        <v>67</v>
      </c>
      <c r="D50" s="18" t="s">
        <v>18</v>
      </c>
      <c r="E50" s="18" t="s">
        <v>806</v>
      </c>
      <c r="F50" s="18" t="s">
        <v>49</v>
      </c>
      <c r="G50" s="143" t="s">
        <v>2655</v>
      </c>
      <c r="H50" s="193" t="s">
        <v>177</v>
      </c>
      <c r="M50" s="37"/>
      <c r="N50" s="37"/>
    </row>
    <row r="51" spans="1:14">
      <c r="A51" t="s">
        <v>174</v>
      </c>
      <c r="B51" t="s">
        <v>175</v>
      </c>
      <c r="C51" s="73">
        <v>18</v>
      </c>
      <c r="D51" s="18" t="s">
        <v>20</v>
      </c>
      <c r="E51" s="18" t="s">
        <v>1055</v>
      </c>
      <c r="F51" s="18" t="s">
        <v>49</v>
      </c>
      <c r="G51" s="143" t="s">
        <v>2656</v>
      </c>
      <c r="H51" s="193" t="s">
        <v>2657</v>
      </c>
      <c r="I51" s="46">
        <v>6459.62</v>
      </c>
      <c r="J51" s="46">
        <v>18363.62</v>
      </c>
      <c r="M51" s="37"/>
      <c r="N51" s="37"/>
    </row>
    <row r="52" spans="1:14">
      <c r="A52" t="s">
        <v>388</v>
      </c>
      <c r="B52" t="s">
        <v>389</v>
      </c>
      <c r="C52" s="73" t="s">
        <v>2658</v>
      </c>
      <c r="D52" s="18" t="s">
        <v>18</v>
      </c>
      <c r="E52" s="18" t="s">
        <v>817</v>
      </c>
      <c r="F52" s="18" t="s">
        <v>49</v>
      </c>
      <c r="G52" s="18" t="s">
        <v>2659</v>
      </c>
      <c r="H52" s="193" t="s">
        <v>2660</v>
      </c>
      <c r="I52" s="46">
        <v>8038.56</v>
      </c>
      <c r="J52" s="46">
        <v>21670.560000000001</v>
      </c>
      <c r="M52" s="37"/>
      <c r="N52" s="37"/>
    </row>
    <row r="53" spans="1:14">
      <c r="A53" t="s">
        <v>388</v>
      </c>
      <c r="B53" t="s">
        <v>389</v>
      </c>
      <c r="C53" s="73">
        <v>16</v>
      </c>
      <c r="D53" s="18" t="s">
        <v>20</v>
      </c>
      <c r="E53" s="18" t="s">
        <v>1058</v>
      </c>
      <c r="F53" s="18" t="s">
        <v>49</v>
      </c>
      <c r="G53" s="18" t="s">
        <v>2661</v>
      </c>
      <c r="H53" s="193" t="s">
        <v>392</v>
      </c>
      <c r="M53" s="37"/>
      <c r="N53" s="37"/>
    </row>
    <row r="54" spans="1:14">
      <c r="A54" t="s">
        <v>80</v>
      </c>
      <c r="B54" t="s">
        <v>81</v>
      </c>
      <c r="C54" s="73">
        <v>76</v>
      </c>
      <c r="D54" s="18" t="s">
        <v>18</v>
      </c>
      <c r="E54" s="18" t="s">
        <v>828</v>
      </c>
      <c r="F54" s="18" t="s">
        <v>49</v>
      </c>
      <c r="G54" s="18" t="s">
        <v>2662</v>
      </c>
      <c r="H54" s="193" t="s">
        <v>92</v>
      </c>
      <c r="I54" s="46">
        <v>10888.55</v>
      </c>
      <c r="J54" s="46">
        <v>23560.55</v>
      </c>
      <c r="M54" s="37"/>
      <c r="N54" s="37"/>
    </row>
    <row r="55" spans="1:14">
      <c r="A55" t="s">
        <v>269</v>
      </c>
      <c r="B55" t="s">
        <v>270</v>
      </c>
      <c r="C55" s="73" t="s">
        <v>2663</v>
      </c>
      <c r="D55" s="18" t="s">
        <v>18</v>
      </c>
      <c r="E55" s="18" t="s">
        <v>856</v>
      </c>
      <c r="F55" s="18" t="s">
        <v>49</v>
      </c>
      <c r="G55" s="18" t="s">
        <v>2664</v>
      </c>
      <c r="H55" s="193" t="s">
        <v>73</v>
      </c>
      <c r="I55" s="46">
        <v>6923.5</v>
      </c>
      <c r="J55" s="46">
        <v>20171.5</v>
      </c>
      <c r="M55" s="37"/>
      <c r="N55" s="37"/>
    </row>
    <row r="56" spans="1:14">
      <c r="A56" s="7" t="s">
        <v>269</v>
      </c>
      <c r="B56" s="7" t="s">
        <v>270</v>
      </c>
      <c r="C56" s="74" t="s">
        <v>2665</v>
      </c>
      <c r="D56" s="54" t="s">
        <v>18</v>
      </c>
      <c r="E56" s="18" t="s">
        <v>863</v>
      </c>
      <c r="F56" s="18" t="s">
        <v>49</v>
      </c>
      <c r="G56" s="18" t="s">
        <v>2666</v>
      </c>
      <c r="H56" s="193" t="s">
        <v>273</v>
      </c>
      <c r="K56" t="b">
        <v>1</v>
      </c>
      <c r="M56" s="37"/>
      <c r="N56" s="37"/>
    </row>
    <row r="57" spans="1:14">
      <c r="A57" s="222" t="s">
        <v>305</v>
      </c>
      <c r="B57" s="222" t="s">
        <v>2667</v>
      </c>
      <c r="C57" s="223"/>
      <c r="D57" s="146" t="s">
        <v>18</v>
      </c>
      <c r="E57" s="146" t="s">
        <v>2668</v>
      </c>
      <c r="F57" s="146" t="s">
        <v>70</v>
      </c>
      <c r="G57" s="108" t="s">
        <v>2669</v>
      </c>
      <c r="H57" s="193" t="s">
        <v>310</v>
      </c>
      <c r="K57" t="b">
        <v>1</v>
      </c>
      <c r="M57" s="37"/>
      <c r="N57" s="37"/>
    </row>
    <row r="58" spans="1:14">
      <c r="A58" s="222" t="s">
        <v>305</v>
      </c>
      <c r="B58" s="222" t="s">
        <v>2670</v>
      </c>
      <c r="C58" s="223">
        <v>18</v>
      </c>
      <c r="D58" s="146" t="s">
        <v>20</v>
      </c>
      <c r="E58" s="146" t="s">
        <v>2671</v>
      </c>
      <c r="F58" s="146" t="s">
        <v>70</v>
      </c>
      <c r="G58" s="141" t="s">
        <v>2672</v>
      </c>
      <c r="H58" s="197" t="s">
        <v>2673</v>
      </c>
      <c r="K58" t="b">
        <v>1</v>
      </c>
      <c r="M58" s="63"/>
      <c r="N58" s="63"/>
    </row>
    <row r="59" spans="1:14">
      <c r="A59" s="222" t="s">
        <v>305</v>
      </c>
      <c r="B59" s="222" t="s">
        <v>2670</v>
      </c>
      <c r="C59" s="223">
        <v>18</v>
      </c>
      <c r="D59" s="146" t="s">
        <v>20</v>
      </c>
      <c r="E59" s="146" t="s">
        <v>2674</v>
      </c>
      <c r="F59" s="146" t="s">
        <v>70</v>
      </c>
      <c r="G59" s="141" t="s">
        <v>2675</v>
      </c>
      <c r="H59" s="193" t="s">
        <v>2676</v>
      </c>
      <c r="K59" t="b">
        <v>1</v>
      </c>
      <c r="M59" s="63"/>
      <c r="N59" s="63"/>
    </row>
    <row r="60" spans="1:14" ht="15.75" customHeight="1">
      <c r="A60" s="109" t="s">
        <v>305</v>
      </c>
      <c r="B60" s="109" t="s">
        <v>2667</v>
      </c>
      <c r="C60" s="142" t="s">
        <v>2607</v>
      </c>
      <c r="D60" s="108" t="s">
        <v>18</v>
      </c>
      <c r="E60" s="108" t="s">
        <v>909</v>
      </c>
      <c r="F60" s="108" t="s">
        <v>49</v>
      </c>
      <c r="G60" s="108" t="s">
        <v>2677</v>
      </c>
      <c r="H60" s="193" t="s">
        <v>315</v>
      </c>
      <c r="I60" s="46">
        <v>6861.83</v>
      </c>
      <c r="J60" s="46">
        <v>18689.830000000002</v>
      </c>
      <c r="K60" t="b">
        <v>1</v>
      </c>
      <c r="M60" s="63"/>
      <c r="N60" s="63"/>
    </row>
    <row r="61" spans="1:14">
      <c r="A61" s="109" t="s">
        <v>305</v>
      </c>
      <c r="B61" s="109" t="s">
        <v>2667</v>
      </c>
      <c r="C61" s="142">
        <v>18</v>
      </c>
      <c r="D61" s="108" t="s">
        <v>20</v>
      </c>
      <c r="E61" s="108" t="s">
        <v>1070</v>
      </c>
      <c r="F61" s="108" t="s">
        <v>49</v>
      </c>
      <c r="G61" s="108" t="s">
        <v>2677</v>
      </c>
      <c r="H61" s="193" t="s">
        <v>2678</v>
      </c>
      <c r="K61" t="b">
        <v>1</v>
      </c>
      <c r="M61" s="63"/>
      <c r="N61" s="63"/>
    </row>
    <row r="62" spans="1:14">
      <c r="A62" s="109" t="s">
        <v>305</v>
      </c>
      <c r="B62" s="109" t="s">
        <v>2667</v>
      </c>
      <c r="C62" s="142" t="s">
        <v>2607</v>
      </c>
      <c r="D62" s="108" t="s">
        <v>18</v>
      </c>
      <c r="E62" s="108" t="s">
        <v>869</v>
      </c>
      <c r="F62" s="108" t="s">
        <v>49</v>
      </c>
      <c r="G62" s="108" t="s">
        <v>2679</v>
      </c>
      <c r="H62" s="193" t="s">
        <v>320</v>
      </c>
      <c r="K62" t="b">
        <v>1</v>
      </c>
      <c r="M62" s="63"/>
      <c r="N62" s="63"/>
    </row>
    <row r="63" spans="1:14">
      <c r="A63" s="109" t="s">
        <v>305</v>
      </c>
      <c r="B63" s="109" t="s">
        <v>2667</v>
      </c>
      <c r="C63" s="142">
        <v>18</v>
      </c>
      <c r="D63" s="108" t="s">
        <v>20</v>
      </c>
      <c r="E63" s="108" t="s">
        <v>1061</v>
      </c>
      <c r="F63" s="108" t="s">
        <v>49</v>
      </c>
      <c r="G63" s="108" t="s">
        <v>2679</v>
      </c>
      <c r="H63" s="193" t="s">
        <v>2680</v>
      </c>
      <c r="K63" t="b">
        <v>1</v>
      </c>
      <c r="M63" s="63"/>
      <c r="N63" s="63"/>
    </row>
    <row r="64" spans="1:14">
      <c r="A64" s="109" t="s">
        <v>305</v>
      </c>
      <c r="B64" s="109" t="s">
        <v>2667</v>
      </c>
      <c r="C64" s="142" t="s">
        <v>2607</v>
      </c>
      <c r="D64" s="108" t="s">
        <v>18</v>
      </c>
      <c r="E64" s="108" t="s">
        <v>886</v>
      </c>
      <c r="F64" s="108" t="s">
        <v>49</v>
      </c>
      <c r="G64" s="108" t="s">
        <v>2681</v>
      </c>
      <c r="H64" s="193" t="s">
        <v>2682</v>
      </c>
      <c r="M64" s="63"/>
      <c r="N64" s="63"/>
    </row>
    <row r="65" spans="1:14">
      <c r="A65" s="109" t="s">
        <v>305</v>
      </c>
      <c r="B65" s="109" t="s">
        <v>2667</v>
      </c>
      <c r="C65" s="142">
        <v>18</v>
      </c>
      <c r="D65" s="108" t="s">
        <v>20</v>
      </c>
      <c r="E65" s="108" t="s">
        <v>1064</v>
      </c>
      <c r="F65" s="108" t="s">
        <v>49</v>
      </c>
      <c r="G65" s="108" t="s">
        <v>2681</v>
      </c>
      <c r="H65" s="193" t="s">
        <v>2683</v>
      </c>
      <c r="M65" s="63"/>
      <c r="N65" s="63"/>
    </row>
    <row r="66" spans="1:14">
      <c r="A66" s="109" t="s">
        <v>305</v>
      </c>
      <c r="B66" s="109" t="s">
        <v>2667</v>
      </c>
      <c r="C66" s="142" t="s">
        <v>2607</v>
      </c>
      <c r="D66" s="108" t="s">
        <v>18</v>
      </c>
      <c r="E66" s="108" t="s">
        <v>893</v>
      </c>
      <c r="F66" s="108" t="s">
        <v>49</v>
      </c>
      <c r="G66" s="108" t="s">
        <v>2684</v>
      </c>
      <c r="H66" s="193" t="s">
        <v>2685</v>
      </c>
      <c r="M66" s="63"/>
      <c r="N66" s="63"/>
    </row>
    <row r="67" spans="1:14">
      <c r="A67" s="109" t="s">
        <v>305</v>
      </c>
      <c r="B67" s="109" t="s">
        <v>2667</v>
      </c>
      <c r="C67" s="142" t="s">
        <v>2607</v>
      </c>
      <c r="D67" s="108" t="s">
        <v>18</v>
      </c>
      <c r="E67" s="228" t="s">
        <v>903</v>
      </c>
      <c r="F67" s="228" t="s">
        <v>49</v>
      </c>
      <c r="G67" s="228" t="s">
        <v>2686</v>
      </c>
      <c r="H67" s="193" t="s">
        <v>2687</v>
      </c>
      <c r="M67" s="63"/>
      <c r="N67" s="63"/>
    </row>
    <row r="68" spans="1:14">
      <c r="A68" s="109" t="s">
        <v>305</v>
      </c>
      <c r="B68" s="109" t="s">
        <v>2667</v>
      </c>
      <c r="C68" s="142">
        <v>18</v>
      </c>
      <c r="D68" s="108" t="s">
        <v>20</v>
      </c>
      <c r="E68" s="228" t="s">
        <v>1067</v>
      </c>
      <c r="F68" s="228" t="s">
        <v>49</v>
      </c>
      <c r="G68" s="228" t="s">
        <v>2686</v>
      </c>
      <c r="H68" s="193" t="s">
        <v>2688</v>
      </c>
      <c r="M68" s="63"/>
      <c r="N68" s="63"/>
    </row>
    <row r="69" spans="1:14">
      <c r="A69" t="s">
        <v>397</v>
      </c>
      <c r="B69" t="s">
        <v>398</v>
      </c>
      <c r="C69" s="73">
        <v>70</v>
      </c>
      <c r="D69" s="18" t="s">
        <v>18</v>
      </c>
      <c r="E69" s="18" t="s">
        <v>915</v>
      </c>
      <c r="F69" s="18" t="s">
        <v>49</v>
      </c>
      <c r="G69" s="143" t="s">
        <v>2689</v>
      </c>
      <c r="H69" s="193" t="s">
        <v>401</v>
      </c>
      <c r="I69" s="46">
        <v>8006.87</v>
      </c>
      <c r="J69" s="46">
        <v>21254.87</v>
      </c>
      <c r="M69" s="63"/>
      <c r="N69" s="63"/>
    </row>
    <row r="70" spans="1:14">
      <c r="A70" t="s">
        <v>397</v>
      </c>
      <c r="B70" t="s">
        <v>398</v>
      </c>
      <c r="C70" s="73">
        <v>15</v>
      </c>
      <c r="D70" s="18" t="s">
        <v>20</v>
      </c>
      <c r="E70" s="18" t="s">
        <v>1073</v>
      </c>
      <c r="F70" s="18" t="s">
        <v>49</v>
      </c>
      <c r="G70" s="143" t="s">
        <v>2690</v>
      </c>
      <c r="H70" s="193" t="s">
        <v>2691</v>
      </c>
      <c r="M70" s="63"/>
      <c r="N70" s="63"/>
    </row>
    <row r="71" spans="1:14">
      <c r="A71" t="s">
        <v>489</v>
      </c>
      <c r="B71" t="s">
        <v>490</v>
      </c>
      <c r="C71" s="73">
        <v>44</v>
      </c>
      <c r="D71" s="18" t="s">
        <v>19</v>
      </c>
      <c r="E71" s="18" t="s">
        <v>1127</v>
      </c>
      <c r="F71" s="18" t="s">
        <v>49</v>
      </c>
      <c r="G71" s="18" t="s">
        <v>2692</v>
      </c>
      <c r="H71" s="193" t="s">
        <v>2693</v>
      </c>
      <c r="I71" s="46">
        <v>5296.75</v>
      </c>
      <c r="J71" s="46">
        <v>12898.75</v>
      </c>
      <c r="M71" s="63"/>
      <c r="N71" s="63"/>
    </row>
    <row r="72" spans="1:14">
      <c r="A72" s="109" t="s">
        <v>2694</v>
      </c>
      <c r="B72" s="109" t="s">
        <v>2695</v>
      </c>
      <c r="C72" s="142">
        <v>41</v>
      </c>
      <c r="D72" s="108" t="s">
        <v>19</v>
      </c>
      <c r="E72" s="108" t="s">
        <v>2696</v>
      </c>
      <c r="F72" s="108" t="s">
        <v>70</v>
      </c>
      <c r="G72" s="141" t="s">
        <v>2697</v>
      </c>
      <c r="H72" s="195" t="s">
        <v>445</v>
      </c>
      <c r="I72" s="191">
        <v>4299.05</v>
      </c>
      <c r="J72" s="191">
        <v>12171.05</v>
      </c>
      <c r="K72" s="109"/>
      <c r="M72" s="63"/>
      <c r="N72" s="63"/>
    </row>
    <row r="73" spans="1:14">
      <c r="A73" s="109" t="s">
        <v>2694</v>
      </c>
      <c r="B73" s="109" t="s">
        <v>2695</v>
      </c>
      <c r="C73" s="142">
        <v>12</v>
      </c>
      <c r="D73" s="108" t="s">
        <v>20</v>
      </c>
      <c r="E73" s="108" t="s">
        <v>2698</v>
      </c>
      <c r="F73" s="108" t="s">
        <v>70</v>
      </c>
      <c r="G73" s="141" t="s">
        <v>2697</v>
      </c>
      <c r="H73" s="195" t="s">
        <v>445</v>
      </c>
      <c r="I73" s="191"/>
      <c r="J73" s="191"/>
      <c r="K73" s="109"/>
      <c r="M73" s="63"/>
      <c r="N73" s="63"/>
    </row>
    <row r="74" spans="1:14">
      <c r="A74" t="s">
        <v>240</v>
      </c>
      <c r="B74" t="s">
        <v>241</v>
      </c>
      <c r="C74" s="73" t="s">
        <v>2699</v>
      </c>
      <c r="D74" s="18" t="s">
        <v>18</v>
      </c>
      <c r="E74" s="18" t="s">
        <v>939</v>
      </c>
      <c r="F74" s="18" t="s">
        <v>49</v>
      </c>
      <c r="G74" s="18" t="s">
        <v>2700</v>
      </c>
      <c r="H74" s="193" t="s">
        <v>2701</v>
      </c>
      <c r="I74" s="46">
        <v>6376.75</v>
      </c>
      <c r="J74" s="46">
        <v>18664.75</v>
      </c>
      <c r="M74" s="37"/>
      <c r="N74" s="37"/>
    </row>
    <row r="75" spans="1:14">
      <c r="A75" t="s">
        <v>240</v>
      </c>
      <c r="B75" t="s">
        <v>241</v>
      </c>
      <c r="C75" s="73" t="s">
        <v>2702</v>
      </c>
      <c r="D75" s="18" t="s">
        <v>19</v>
      </c>
      <c r="E75" s="18" t="s">
        <v>1133</v>
      </c>
      <c r="F75" s="18" t="s">
        <v>49</v>
      </c>
      <c r="G75" s="18" t="s">
        <v>2703</v>
      </c>
      <c r="H75" s="193" t="s">
        <v>2704</v>
      </c>
      <c r="M75" s="37"/>
      <c r="N75" s="37"/>
    </row>
    <row r="76" spans="1:14">
      <c r="A76" t="s">
        <v>240</v>
      </c>
      <c r="B76" t="s">
        <v>241</v>
      </c>
      <c r="C76" s="73">
        <v>15</v>
      </c>
      <c r="D76" s="18" t="s">
        <v>20</v>
      </c>
      <c r="E76" s="18" t="s">
        <v>1077</v>
      </c>
      <c r="F76" s="18" t="s">
        <v>49</v>
      </c>
      <c r="G76" s="18" t="s">
        <v>2705</v>
      </c>
      <c r="H76" s="193" t="s">
        <v>245</v>
      </c>
      <c r="M76" s="37"/>
      <c r="N76" s="37"/>
    </row>
    <row r="77" spans="1:14">
      <c r="A77" t="s">
        <v>185</v>
      </c>
      <c r="B77" t="s">
        <v>186</v>
      </c>
      <c r="C77" s="73" t="s">
        <v>2706</v>
      </c>
      <c r="D77" s="18" t="s">
        <v>18</v>
      </c>
      <c r="E77" s="18" t="s">
        <v>947</v>
      </c>
      <c r="F77" s="18" t="s">
        <v>49</v>
      </c>
      <c r="G77" s="18" t="s">
        <v>2707</v>
      </c>
      <c r="H77" s="193" t="s">
        <v>2708</v>
      </c>
      <c r="I77" s="46">
        <v>7331.45</v>
      </c>
      <c r="J77" s="46">
        <v>19427.45</v>
      </c>
      <c r="K77" t="b">
        <v>1</v>
      </c>
      <c r="M77" s="37"/>
      <c r="N77" s="37"/>
    </row>
    <row r="78" spans="1:14">
      <c r="A78" s="53">
        <v>55180</v>
      </c>
      <c r="B78" t="s">
        <v>186</v>
      </c>
      <c r="C78" s="73" t="s">
        <v>2709</v>
      </c>
      <c r="D78" s="18" t="s">
        <v>19</v>
      </c>
      <c r="E78" s="18" t="s">
        <v>1136</v>
      </c>
      <c r="F78" s="18" t="s">
        <v>49</v>
      </c>
      <c r="G78" s="18" t="s">
        <v>2707</v>
      </c>
      <c r="H78" s="193" t="s">
        <v>2710</v>
      </c>
      <c r="K78" t="b">
        <v>1</v>
      </c>
      <c r="M78" s="37"/>
      <c r="N78" s="37"/>
    </row>
    <row r="79" spans="1:14">
      <c r="A79" t="s">
        <v>185</v>
      </c>
      <c r="B79" t="s">
        <v>186</v>
      </c>
      <c r="C79" s="73">
        <v>18</v>
      </c>
      <c r="D79" s="18" t="s">
        <v>20</v>
      </c>
      <c r="E79" s="18" t="s">
        <v>1081</v>
      </c>
      <c r="F79" s="18" t="s">
        <v>49</v>
      </c>
      <c r="G79" s="18" t="s">
        <v>2711</v>
      </c>
      <c r="H79" s="193" t="s">
        <v>2712</v>
      </c>
      <c r="K79" t="b">
        <v>1</v>
      </c>
      <c r="M79" s="37"/>
      <c r="N79" s="37"/>
    </row>
    <row r="80" spans="1:14">
      <c r="A80" t="s">
        <v>185</v>
      </c>
      <c r="B80" t="s">
        <v>186</v>
      </c>
      <c r="C80" s="73">
        <v>18</v>
      </c>
      <c r="D80" s="18" t="s">
        <v>20</v>
      </c>
      <c r="E80" s="18" t="s">
        <v>1085</v>
      </c>
      <c r="F80" s="18" t="s">
        <v>49</v>
      </c>
      <c r="G80" s="18" t="s">
        <v>2713</v>
      </c>
      <c r="H80" s="193" t="s">
        <v>2714</v>
      </c>
      <c r="K80" t="b">
        <v>1</v>
      </c>
      <c r="M80" s="37"/>
      <c r="N80" s="37"/>
    </row>
    <row r="81" spans="1:14">
      <c r="A81" t="s">
        <v>185</v>
      </c>
      <c r="B81" t="s">
        <v>186</v>
      </c>
      <c r="C81" s="73">
        <v>18</v>
      </c>
      <c r="D81" s="18" t="s">
        <v>20</v>
      </c>
      <c r="E81" s="18" t="s">
        <v>1087</v>
      </c>
      <c r="F81" s="18" t="s">
        <v>49</v>
      </c>
      <c r="G81" s="18" t="s">
        <v>2715</v>
      </c>
      <c r="H81" s="193" t="s">
        <v>2716</v>
      </c>
      <c r="K81" t="b">
        <v>1</v>
      </c>
      <c r="M81" s="37"/>
      <c r="N81" s="37"/>
    </row>
    <row r="82" spans="1:14">
      <c r="A82" t="s">
        <v>222</v>
      </c>
      <c r="B82" t="s">
        <v>223</v>
      </c>
      <c r="C82" s="73">
        <v>65</v>
      </c>
      <c r="D82" s="18" t="s">
        <v>18</v>
      </c>
      <c r="E82" s="18" t="s">
        <v>956</v>
      </c>
      <c r="F82" s="18" t="s">
        <v>49</v>
      </c>
      <c r="G82" s="18" t="s">
        <v>2717</v>
      </c>
      <c r="H82" s="193" t="s">
        <v>2718</v>
      </c>
      <c r="I82" s="46">
        <v>6192.41</v>
      </c>
      <c r="J82" s="46">
        <v>17712.41</v>
      </c>
      <c r="K82" t="b">
        <v>1</v>
      </c>
      <c r="M82" s="37"/>
      <c r="N82" s="37"/>
    </row>
    <row r="83" spans="1:14">
      <c r="A83" t="s">
        <v>222</v>
      </c>
      <c r="B83" t="s">
        <v>223</v>
      </c>
      <c r="C83" s="73">
        <v>71</v>
      </c>
      <c r="D83" s="18" t="s">
        <v>18</v>
      </c>
      <c r="E83" s="18" t="s">
        <v>966</v>
      </c>
      <c r="F83" s="18" t="s">
        <v>49</v>
      </c>
      <c r="G83" s="18" t="s">
        <v>2719</v>
      </c>
      <c r="H83" s="193" t="s">
        <v>226</v>
      </c>
      <c r="I83" s="46">
        <v>6357.68</v>
      </c>
      <c r="J83" s="46">
        <v>18627.68</v>
      </c>
      <c r="K83" t="b">
        <v>1</v>
      </c>
      <c r="M83" s="37"/>
      <c r="N83" s="37"/>
    </row>
    <row r="84" spans="1:14">
      <c r="A84" t="s">
        <v>222</v>
      </c>
      <c r="B84" t="s">
        <v>223</v>
      </c>
      <c r="C84" s="73">
        <v>71</v>
      </c>
      <c r="D84" s="18" t="s">
        <v>18</v>
      </c>
      <c r="E84" s="18" t="s">
        <v>974</v>
      </c>
      <c r="F84" s="18" t="s">
        <v>49</v>
      </c>
      <c r="G84" s="18" t="s">
        <v>2720</v>
      </c>
      <c r="H84" s="193" t="s">
        <v>221</v>
      </c>
      <c r="I84" s="46">
        <v>6136.12</v>
      </c>
      <c r="J84" s="46">
        <v>18424.12</v>
      </c>
      <c r="K84" t="b">
        <v>1</v>
      </c>
      <c r="M84" s="37"/>
      <c r="N84" s="37"/>
    </row>
    <row r="85" spans="1:14">
      <c r="A85" t="s">
        <v>222</v>
      </c>
      <c r="B85" t="s">
        <v>223</v>
      </c>
      <c r="C85" s="73">
        <v>41</v>
      </c>
      <c r="D85" s="18" t="s">
        <v>19</v>
      </c>
      <c r="E85" s="18" t="s">
        <v>2721</v>
      </c>
      <c r="F85" s="18" t="s">
        <v>70</v>
      </c>
      <c r="G85" s="18" t="s">
        <v>2722</v>
      </c>
      <c r="H85" s="193" t="s">
        <v>2723</v>
      </c>
      <c r="I85" s="46">
        <v>3995.12</v>
      </c>
      <c r="J85" s="46">
        <v>11867.12</v>
      </c>
      <c r="K85" t="b">
        <v>1</v>
      </c>
      <c r="M85" s="37"/>
      <c r="N85" s="37"/>
    </row>
    <row r="86" spans="1:14">
      <c r="A86" t="s">
        <v>222</v>
      </c>
      <c r="B86" t="s">
        <v>223</v>
      </c>
      <c r="C86" s="73">
        <v>16</v>
      </c>
      <c r="D86" s="18" t="s">
        <v>20</v>
      </c>
      <c r="E86" s="18" t="s">
        <v>1089</v>
      </c>
      <c r="F86" s="18" t="s">
        <v>49</v>
      </c>
      <c r="G86" s="18" t="s">
        <v>2724</v>
      </c>
      <c r="H86" s="193" t="s">
        <v>231</v>
      </c>
      <c r="I86" s="46">
        <v>1538.31</v>
      </c>
      <c r="J86" s="46">
        <v>4610.3100000000004</v>
      </c>
      <c r="K86" t="b">
        <v>1</v>
      </c>
      <c r="M86" s="37"/>
      <c r="N86" s="37"/>
    </row>
    <row r="87" spans="1:14">
      <c r="A87" t="s">
        <v>331</v>
      </c>
      <c r="B87" t="s">
        <v>332</v>
      </c>
      <c r="C87" s="73">
        <v>16</v>
      </c>
      <c r="D87" s="18" t="s">
        <v>20</v>
      </c>
      <c r="E87" s="18" t="s">
        <v>1093</v>
      </c>
      <c r="F87" s="18" t="s">
        <v>49</v>
      </c>
      <c r="G87" s="18" t="s">
        <v>2725</v>
      </c>
      <c r="H87" s="193" t="s">
        <v>2726</v>
      </c>
      <c r="I87" s="46">
        <v>1531.81</v>
      </c>
      <c r="J87" s="46">
        <v>4603.8100000000004</v>
      </c>
      <c r="K87" t="b">
        <v>1</v>
      </c>
      <c r="M87" s="37"/>
      <c r="N87" s="37"/>
    </row>
    <row r="88" spans="1:14">
      <c r="A88" s="52">
        <v>55490</v>
      </c>
      <c r="B88" s="51" t="s">
        <v>253</v>
      </c>
      <c r="C88" s="75">
        <v>18</v>
      </c>
      <c r="D88" s="50" t="s">
        <v>20</v>
      </c>
      <c r="E88" s="18" t="s">
        <v>1099</v>
      </c>
      <c r="F88" s="18" t="s">
        <v>49</v>
      </c>
      <c r="G88" s="18" t="s">
        <v>253</v>
      </c>
      <c r="H88" s="198" t="s">
        <v>335</v>
      </c>
      <c r="K88" t="b">
        <v>1</v>
      </c>
      <c r="M88" s="55"/>
      <c r="N88" s="55"/>
    </row>
    <row r="89" spans="1:14">
      <c r="A89" t="s">
        <v>216</v>
      </c>
      <c r="B89" t="s">
        <v>217</v>
      </c>
      <c r="C89" s="73">
        <v>16</v>
      </c>
      <c r="D89" s="18" t="s">
        <v>20</v>
      </c>
      <c r="E89" s="18" t="s">
        <v>1105</v>
      </c>
      <c r="F89" s="18" t="s">
        <v>49</v>
      </c>
      <c r="G89" s="18" t="s">
        <v>2727</v>
      </c>
      <c r="H89" s="193" t="s">
        <v>2728</v>
      </c>
      <c r="I89" s="46">
        <v>1531.81</v>
      </c>
      <c r="J89" s="46">
        <v>4603.8100000000004</v>
      </c>
      <c r="K89" t="b">
        <v>1</v>
      </c>
      <c r="M89" s="37"/>
      <c r="N89" s="37"/>
    </row>
    <row r="90" spans="1:14">
      <c r="A90" t="s">
        <v>227</v>
      </c>
      <c r="B90" t="s">
        <v>228</v>
      </c>
      <c r="C90" s="73">
        <v>16</v>
      </c>
      <c r="D90" s="18" t="s">
        <v>20</v>
      </c>
      <c r="E90" s="18" t="s">
        <v>1108</v>
      </c>
      <c r="F90" s="18" t="s">
        <v>49</v>
      </c>
      <c r="G90" s="18" t="s">
        <v>2729</v>
      </c>
      <c r="H90" s="193" t="s">
        <v>2730</v>
      </c>
      <c r="K90" t="b">
        <v>1</v>
      </c>
      <c r="M90" s="37"/>
      <c r="N90" s="37"/>
    </row>
    <row r="91" spans="1:14">
      <c r="A91" s="161">
        <v>55260</v>
      </c>
      <c r="B91" t="s">
        <v>542</v>
      </c>
      <c r="C91" s="73">
        <v>27</v>
      </c>
      <c r="D91" s="109"/>
      <c r="E91" s="109" t="s">
        <v>976</v>
      </c>
      <c r="F91" t="s">
        <v>49</v>
      </c>
      <c r="G91" t="s">
        <v>542</v>
      </c>
      <c r="H91" s="193" t="s">
        <v>546</v>
      </c>
      <c r="K91" t="b">
        <v>1</v>
      </c>
      <c r="M91" s="37"/>
      <c r="N91" s="37"/>
    </row>
    <row r="92" spans="1:14">
      <c r="A92" s="161">
        <v>45720</v>
      </c>
      <c r="B92" t="s">
        <v>547</v>
      </c>
      <c r="C92" s="73">
        <v>21</v>
      </c>
      <c r="D92" s="109"/>
      <c r="E92" s="109" t="s">
        <v>929</v>
      </c>
      <c r="F92" t="s">
        <v>49</v>
      </c>
      <c r="G92" t="s">
        <v>547</v>
      </c>
      <c r="H92" s="193" t="s">
        <v>550</v>
      </c>
      <c r="M92" s="37"/>
      <c r="N92" s="37"/>
    </row>
    <row r="93" spans="1:14">
      <c r="A93" s="161">
        <v>45730</v>
      </c>
      <c r="B93" t="s">
        <v>551</v>
      </c>
      <c r="C93" s="73">
        <v>29</v>
      </c>
      <c r="D93" s="109"/>
      <c r="E93" s="109" t="s">
        <v>933</v>
      </c>
      <c r="F93" t="s">
        <v>49</v>
      </c>
      <c r="G93" t="s">
        <v>551</v>
      </c>
      <c r="H93" s="193" t="s">
        <v>554</v>
      </c>
      <c r="M93" s="37"/>
      <c r="N93" s="37"/>
    </row>
    <row r="94" spans="1:14">
      <c r="A94" s="161">
        <v>25380</v>
      </c>
      <c r="B94" t="s">
        <v>555</v>
      </c>
      <c r="C94" s="73">
        <v>25</v>
      </c>
      <c r="D94" s="109"/>
      <c r="E94" s="109" t="s">
        <v>742</v>
      </c>
      <c r="F94" t="s">
        <v>49</v>
      </c>
      <c r="G94" t="s">
        <v>555</v>
      </c>
      <c r="H94" s="193" t="s">
        <v>558</v>
      </c>
      <c r="K94" t="b">
        <v>1</v>
      </c>
      <c r="M94" s="37"/>
      <c r="N94" s="37"/>
    </row>
    <row r="95" spans="1:14">
      <c r="H95" s="199" t="s">
        <v>370</v>
      </c>
    </row>
    <row r="96" spans="1:14">
      <c r="H96" s="199" t="s">
        <v>2731</v>
      </c>
    </row>
    <row r="97" spans="8:8">
      <c r="H97" s="199" t="s">
        <v>377</v>
      </c>
    </row>
  </sheetData>
  <autoFilter ref="A1:K97" xr:uid="{4AF45CCE-DB85-48E6-9AA9-431717235873}"/>
  <sortState xmlns:xlrd2="http://schemas.microsoft.com/office/spreadsheetml/2017/richdata2" ref="A2:G90">
    <sortCondition ref="A2:A90"/>
  </sortState>
  <dataValidations count="1">
    <dataValidation allowBlank="1" showInputMessage="1" showErrorMessage="1" sqref="C1:C1048576" xr:uid="{7B5611C2-57EB-45A2-8AB2-2ED145B9B5E4}"/>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426132A-126A-499B-A819-BA97B6BB67BA}">
          <x14:formula1>
            <xm:f>'Programs Unduplicated'!B:B</xm:f>
          </x14:formula1>
          <xm:sqref>B89:B1048576 B1:B87 G91 G93:G94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93D78-A29F-4B42-BE5F-B70DF196AF68}">
  <dimension ref="A1:AO214"/>
  <sheetViews>
    <sheetView showFormulas="1" topLeftCell="L14" workbookViewId="0">
      <selection activeCell="Q40" sqref="Q40"/>
    </sheetView>
  </sheetViews>
  <sheetFormatPr defaultColWidth="8.85546875" defaultRowHeight="15"/>
  <cols>
    <col min="1" max="1" width="8.85546875" style="58" customWidth="1"/>
    <col min="2" max="2" width="12" style="58" customWidth="1"/>
    <col min="3" max="3" width="9.140625" style="58"/>
    <col min="4" max="4" width="16.28515625" style="58" customWidth="1"/>
    <col min="5" max="6" width="8.85546875" style="58" customWidth="1"/>
    <col min="7" max="7" width="26.5703125" style="58" customWidth="1"/>
    <col min="8" max="8" width="66.28515625" style="58" customWidth="1"/>
    <col min="9" max="9" width="30.5703125" style="58" customWidth="1"/>
    <col min="10" max="10" width="23.28515625" style="58" customWidth="1"/>
    <col min="11" max="11" width="22.42578125" style="58" customWidth="1"/>
    <col min="12" max="13" width="35.28515625" style="58" customWidth="1"/>
    <col min="14" max="14" width="119.7109375" style="99" customWidth="1"/>
    <col min="15" max="15" width="9.140625" style="58"/>
    <col min="16" max="37" width="8.85546875" style="58"/>
    <col min="38" max="38" width="6.28515625" style="58" customWidth="1"/>
    <col min="39" max="40" width="8.85546875" style="58"/>
    <col min="41" max="41" width="10.28515625" style="58" customWidth="1"/>
    <col min="42" max="16384" width="8.85546875" style="58"/>
  </cols>
  <sheetData>
    <row r="1" spans="1:41">
      <c r="A1" s="57" t="s">
        <v>2732</v>
      </c>
      <c r="B1" s="57" t="s">
        <v>2733</v>
      </c>
      <c r="C1" s="57" t="s">
        <v>2734</v>
      </c>
      <c r="D1" s="57" t="s">
        <v>2735</v>
      </c>
      <c r="E1" s="57" t="s">
        <v>2736</v>
      </c>
      <c r="F1" s="57" t="s">
        <v>2737</v>
      </c>
      <c r="G1" s="57" t="s">
        <v>2738</v>
      </c>
      <c r="H1" s="57" t="s">
        <v>2739</v>
      </c>
      <c r="I1" s="57" t="s">
        <v>1145</v>
      </c>
      <c r="J1" s="57" t="s">
        <v>2740</v>
      </c>
      <c r="K1" s="57" t="s">
        <v>2741</v>
      </c>
      <c r="L1" s="57" t="s">
        <v>2742</v>
      </c>
      <c r="M1" s="57" t="s">
        <v>2743</v>
      </c>
      <c r="N1" s="243" t="s">
        <v>2744</v>
      </c>
      <c r="O1" s="57" t="s">
        <v>2745</v>
      </c>
    </row>
    <row r="2" spans="1:41">
      <c r="A2" s="57"/>
      <c r="B2" s="57" t="s">
        <v>2746</v>
      </c>
      <c r="C2" s="57" t="s">
        <v>2747</v>
      </c>
      <c r="D2" s="57" t="s">
        <v>2748</v>
      </c>
      <c r="E2" s="57"/>
      <c r="F2" s="57"/>
      <c r="G2" s="57" t="s">
        <v>2749</v>
      </c>
      <c r="H2" s="57" t="s">
        <v>2750</v>
      </c>
      <c r="I2" s="57"/>
      <c r="J2" s="57" t="s">
        <v>2751</v>
      </c>
      <c r="K2" s="57" t="s">
        <v>2752</v>
      </c>
      <c r="L2" s="57" t="s">
        <v>2753</v>
      </c>
      <c r="M2" s="79"/>
      <c r="N2" t="s">
        <v>2754</v>
      </c>
      <c r="O2" s="57">
        <v>262914</v>
      </c>
      <c r="AE2" s="61"/>
      <c r="AO2" s="61"/>
    </row>
    <row r="3" spans="1:41">
      <c r="A3" s="57"/>
      <c r="B3" s="57" t="s">
        <v>2755</v>
      </c>
      <c r="C3" s="57" t="s">
        <v>2756</v>
      </c>
      <c r="D3" s="57" t="s">
        <v>2748</v>
      </c>
      <c r="E3" s="57"/>
      <c r="F3" s="57"/>
      <c r="G3" s="59" t="s">
        <v>2757</v>
      </c>
      <c r="H3" s="57" t="s">
        <v>2758</v>
      </c>
      <c r="I3" s="57"/>
      <c r="J3" s="57" t="s">
        <v>2759</v>
      </c>
      <c r="K3" s="57" t="s">
        <v>2752</v>
      </c>
      <c r="L3" s="57" t="s">
        <v>2760</v>
      </c>
      <c r="M3" s="79"/>
      <c r="N3" t="s">
        <v>2761</v>
      </c>
      <c r="O3" s="57">
        <v>524601</v>
      </c>
    </row>
    <row r="4" spans="1:41">
      <c r="A4" s="57"/>
      <c r="B4" s="57" t="s">
        <v>2762</v>
      </c>
      <c r="C4" s="57" t="s">
        <v>2763</v>
      </c>
      <c r="D4" s="57" t="s">
        <v>2764</v>
      </c>
      <c r="E4" s="57"/>
      <c r="F4" s="57"/>
      <c r="G4" s="59" t="s">
        <v>2765</v>
      </c>
      <c r="H4" s="57" t="s">
        <v>2766</v>
      </c>
      <c r="I4" s="57"/>
      <c r="J4" s="57" t="s">
        <v>2767</v>
      </c>
      <c r="K4" s="57" t="s">
        <v>2752</v>
      </c>
      <c r="L4" s="57" t="s">
        <v>2768</v>
      </c>
      <c r="M4" s="57" t="s">
        <v>2769</v>
      </c>
      <c r="N4" s="244" t="s">
        <v>2770</v>
      </c>
      <c r="O4" s="57">
        <v>520682</v>
      </c>
    </row>
    <row r="5" spans="1:41">
      <c r="A5" s="57"/>
      <c r="B5" s="57" t="s">
        <v>2771</v>
      </c>
      <c r="C5" s="57" t="s">
        <v>2772</v>
      </c>
      <c r="D5" s="57" t="s">
        <v>2773</v>
      </c>
      <c r="E5" s="57"/>
      <c r="F5" s="57"/>
      <c r="G5" s="57" t="s">
        <v>2774</v>
      </c>
      <c r="H5" s="57" t="s">
        <v>2775</v>
      </c>
      <c r="I5" s="57"/>
      <c r="J5" s="57" t="s">
        <v>2776</v>
      </c>
      <c r="K5" s="57" t="s">
        <v>2752</v>
      </c>
      <c r="L5" s="58" t="s">
        <v>2777</v>
      </c>
      <c r="M5" s="37"/>
      <c r="N5" t="s">
        <v>2778</v>
      </c>
      <c r="O5" s="57">
        <v>79774</v>
      </c>
    </row>
    <row r="6" spans="1:41">
      <c r="A6" s="57"/>
      <c r="B6" s="57" t="s">
        <v>2779</v>
      </c>
      <c r="C6" s="57" t="s">
        <v>2780</v>
      </c>
      <c r="D6" s="57" t="s">
        <v>2781</v>
      </c>
      <c r="E6" s="57"/>
      <c r="F6" s="57"/>
      <c r="G6" s="57" t="s">
        <v>2782</v>
      </c>
      <c r="H6" s="57" t="s">
        <v>2783</v>
      </c>
      <c r="I6" s="57"/>
      <c r="J6" s="57" t="s">
        <v>2784</v>
      </c>
      <c r="K6" s="57" t="s">
        <v>2752</v>
      </c>
      <c r="L6" s="57" t="s">
        <v>2785</v>
      </c>
      <c r="M6" s="79"/>
      <c r="N6" t="s">
        <v>2786</v>
      </c>
      <c r="O6" s="57">
        <v>498469</v>
      </c>
    </row>
    <row r="7" spans="1:41">
      <c r="A7" s="57"/>
      <c r="B7" s="57" t="s">
        <v>2787</v>
      </c>
      <c r="C7" s="57" t="s">
        <v>2788</v>
      </c>
      <c r="D7" s="57" t="s">
        <v>2789</v>
      </c>
      <c r="E7" s="57"/>
      <c r="F7" s="57"/>
      <c r="G7" s="57" t="s">
        <v>2790</v>
      </c>
      <c r="H7" s="57" t="s">
        <v>2791</v>
      </c>
      <c r="I7" s="57"/>
      <c r="J7" s="57" t="s">
        <v>2792</v>
      </c>
      <c r="K7" s="57" t="s">
        <v>2752</v>
      </c>
      <c r="L7" s="57" t="s">
        <v>2793</v>
      </c>
      <c r="M7" s="57"/>
      <c r="N7" t="s">
        <v>2794</v>
      </c>
      <c r="O7" s="57">
        <v>406128</v>
      </c>
    </row>
    <row r="8" spans="1:41">
      <c r="A8" s="57"/>
      <c r="B8" s="57" t="s">
        <v>2795</v>
      </c>
      <c r="C8" s="57"/>
      <c r="D8" s="57" t="s">
        <v>2796</v>
      </c>
      <c r="E8" s="57"/>
      <c r="F8" s="57"/>
      <c r="G8" s="57"/>
      <c r="H8" s="57" t="s">
        <v>2797</v>
      </c>
      <c r="I8" s="57"/>
      <c r="J8" s="57"/>
      <c r="K8" s="57"/>
      <c r="L8" s="58" t="s">
        <v>2798</v>
      </c>
      <c r="M8" s="72"/>
      <c r="N8" t="s">
        <v>2799</v>
      </c>
      <c r="O8" s="57">
        <v>472161</v>
      </c>
    </row>
    <row r="9" spans="1:41">
      <c r="A9" s="57"/>
      <c r="B9" s="57" t="s">
        <v>2800</v>
      </c>
      <c r="C9" s="57" t="s">
        <v>2801</v>
      </c>
      <c r="D9" s="57" t="s">
        <v>2802</v>
      </c>
      <c r="E9" s="57"/>
      <c r="F9" s="57"/>
      <c r="G9" s="57" t="s">
        <v>2803</v>
      </c>
      <c r="H9" s="57" t="s">
        <v>2804</v>
      </c>
      <c r="I9" s="57"/>
      <c r="J9" s="57" t="s">
        <v>2805</v>
      </c>
      <c r="K9" s="57" t="s">
        <v>2752</v>
      </c>
      <c r="L9" s="57" t="s">
        <v>2806</v>
      </c>
      <c r="M9" s="57" t="s">
        <v>2807</v>
      </c>
      <c r="N9" s="243" t="s">
        <v>2808</v>
      </c>
      <c r="O9" s="57">
        <v>81853</v>
      </c>
    </row>
    <row r="10" spans="1:41">
      <c r="A10" s="57"/>
      <c r="B10" s="57" t="s">
        <v>2809</v>
      </c>
      <c r="C10" s="57" t="s">
        <v>2810</v>
      </c>
      <c r="D10" s="57" t="s">
        <v>2802</v>
      </c>
      <c r="E10" s="57"/>
      <c r="F10" s="57"/>
      <c r="G10" s="57" t="s">
        <v>2811</v>
      </c>
      <c r="H10" s="57" t="s">
        <v>2812</v>
      </c>
      <c r="I10" s="57"/>
      <c r="J10" s="57" t="s">
        <v>2813</v>
      </c>
      <c r="K10" s="57" t="s">
        <v>2752</v>
      </c>
      <c r="L10" s="57" t="s">
        <v>2814</v>
      </c>
      <c r="M10" s="79"/>
      <c r="N10" t="s">
        <v>2815</v>
      </c>
      <c r="O10" s="57">
        <v>539499</v>
      </c>
    </row>
    <row r="11" spans="1:41">
      <c r="A11" s="57"/>
      <c r="B11" s="57" t="s">
        <v>2816</v>
      </c>
      <c r="C11" s="57"/>
      <c r="D11" s="57" t="s">
        <v>2817</v>
      </c>
      <c r="E11" s="57"/>
      <c r="F11" s="57"/>
      <c r="G11" s="57" t="s">
        <v>2818</v>
      </c>
      <c r="H11" s="57" t="s">
        <v>2819</v>
      </c>
      <c r="I11" s="57"/>
      <c r="J11" s="57" t="s">
        <v>2820</v>
      </c>
      <c r="K11" s="57" t="s">
        <v>2821</v>
      </c>
      <c r="L11" s="57" t="s">
        <v>2822</v>
      </c>
      <c r="M11" s="57"/>
      <c r="N11" t="s">
        <v>2823</v>
      </c>
      <c r="O11" s="57">
        <v>81237</v>
      </c>
    </row>
    <row r="12" spans="1:41" s="1" customFormat="1">
      <c r="A12" s="60"/>
      <c r="B12" s="60" t="s">
        <v>2824</v>
      </c>
      <c r="C12" s="60" t="s">
        <v>2825</v>
      </c>
      <c r="D12" s="60" t="s">
        <v>2826</v>
      </c>
      <c r="E12" s="60"/>
      <c r="F12" s="60"/>
      <c r="G12" s="60" t="s">
        <v>2827</v>
      </c>
      <c r="H12" s="60" t="s">
        <v>2828</v>
      </c>
      <c r="I12" s="60"/>
      <c r="J12" s="60" t="s">
        <v>2829</v>
      </c>
      <c r="K12" s="60" t="s">
        <v>2752</v>
      </c>
      <c r="L12" s="230" t="s">
        <v>2830</v>
      </c>
      <c r="M12" s="231"/>
      <c r="N12" t="s">
        <v>2831</v>
      </c>
      <c r="O12" s="60">
        <v>532652</v>
      </c>
    </row>
    <row r="13" spans="1:41">
      <c r="A13" s="57"/>
      <c r="B13" s="57" t="s">
        <v>2832</v>
      </c>
      <c r="C13" s="57" t="s">
        <v>2833</v>
      </c>
      <c r="D13" s="57" t="s">
        <v>2834</v>
      </c>
      <c r="E13" s="57"/>
      <c r="F13" s="57"/>
      <c r="G13" s="57" t="s">
        <v>2835</v>
      </c>
      <c r="H13" s="57" t="s">
        <v>2836</v>
      </c>
      <c r="I13" s="57"/>
      <c r="J13" s="57" t="s">
        <v>2837</v>
      </c>
      <c r="K13" s="57" t="s">
        <v>2821</v>
      </c>
      <c r="L13" s="57" t="s">
        <v>2838</v>
      </c>
      <c r="M13" s="37"/>
      <c r="N13" t="s">
        <v>2839</v>
      </c>
      <c r="O13" s="57">
        <v>503884</v>
      </c>
    </row>
    <row r="14" spans="1:41">
      <c r="A14" s="57"/>
      <c r="B14" s="57" t="s">
        <v>2840</v>
      </c>
      <c r="C14" s="57" t="s">
        <v>2841</v>
      </c>
      <c r="D14" s="57" t="s">
        <v>2842</v>
      </c>
      <c r="E14" s="57"/>
      <c r="F14" s="57"/>
      <c r="G14" s="57" t="s">
        <v>2843</v>
      </c>
      <c r="H14" s="57" t="s">
        <v>2844</v>
      </c>
      <c r="I14" s="57"/>
      <c r="J14" s="57" t="s">
        <v>2845</v>
      </c>
      <c r="K14" s="57" t="s">
        <v>2752</v>
      </c>
      <c r="L14" s="57" t="s">
        <v>2846</v>
      </c>
      <c r="M14" s="79"/>
      <c r="N14" t="s">
        <v>2847</v>
      </c>
      <c r="O14" s="57">
        <v>505103</v>
      </c>
    </row>
    <row r="15" spans="1:41">
      <c r="A15" s="57"/>
      <c r="B15" s="57" t="s">
        <v>2848</v>
      </c>
      <c r="C15" s="57" t="s">
        <v>2780</v>
      </c>
      <c r="D15" s="57" t="s">
        <v>2842</v>
      </c>
      <c r="E15" s="57"/>
      <c r="F15" s="57"/>
      <c r="G15" s="57" t="s">
        <v>2849</v>
      </c>
      <c r="H15" s="57" t="s">
        <v>2850</v>
      </c>
      <c r="I15" s="57"/>
      <c r="J15" s="57" t="s">
        <v>2851</v>
      </c>
      <c r="K15" s="57" t="s">
        <v>2752</v>
      </c>
      <c r="L15" s="57" t="s">
        <v>2852</v>
      </c>
      <c r="M15" s="37"/>
      <c r="N15" t="s">
        <v>2853</v>
      </c>
      <c r="O15" s="57">
        <v>500080</v>
      </c>
    </row>
    <row r="16" spans="1:41">
      <c r="A16" s="57"/>
      <c r="B16" s="57" t="s">
        <v>2854</v>
      </c>
      <c r="C16" s="57" t="s">
        <v>2855</v>
      </c>
      <c r="D16" s="57" t="s">
        <v>2856</v>
      </c>
      <c r="E16" s="57"/>
      <c r="F16" s="57"/>
      <c r="G16" s="57" t="s">
        <v>2857</v>
      </c>
      <c r="H16" s="57" t="s">
        <v>2858</v>
      </c>
      <c r="I16" s="57"/>
      <c r="J16" s="57" t="s">
        <v>2859</v>
      </c>
      <c r="K16" s="57" t="s">
        <v>2752</v>
      </c>
      <c r="L16" s="57" t="s">
        <v>2860</v>
      </c>
      <c r="M16" s="57"/>
      <c r="N16" s="243" t="s">
        <v>2861</v>
      </c>
      <c r="O16" s="57">
        <v>79497</v>
      </c>
      <c r="P16" s="37"/>
    </row>
    <row r="17" spans="1:15">
      <c r="A17" s="57"/>
      <c r="B17" s="57" t="s">
        <v>2862</v>
      </c>
      <c r="C17" s="57" t="s">
        <v>2780</v>
      </c>
      <c r="D17" s="57" t="s">
        <v>2856</v>
      </c>
      <c r="E17" s="57"/>
      <c r="F17" s="57"/>
      <c r="G17" s="57" t="s">
        <v>2863</v>
      </c>
      <c r="H17" s="57" t="s">
        <v>2864</v>
      </c>
      <c r="I17" s="57"/>
      <c r="J17" s="57" t="s">
        <v>2865</v>
      </c>
      <c r="K17" s="57" t="s">
        <v>2752</v>
      </c>
      <c r="L17" s="57" t="s">
        <v>2866</v>
      </c>
      <c r="M17" s="57"/>
      <c r="N17" t="s">
        <v>2867</v>
      </c>
      <c r="O17" s="57">
        <v>79574</v>
      </c>
    </row>
    <row r="18" spans="1:15">
      <c r="A18" s="57"/>
      <c r="B18" s="57" t="s">
        <v>2868</v>
      </c>
      <c r="C18" s="57" t="s">
        <v>2855</v>
      </c>
      <c r="D18" s="57" t="s">
        <v>2869</v>
      </c>
      <c r="E18" s="57"/>
      <c r="F18" s="57"/>
      <c r="G18" s="57" t="s">
        <v>2870</v>
      </c>
      <c r="H18" s="57" t="s">
        <v>2871</v>
      </c>
      <c r="I18" s="57"/>
      <c r="J18" s="57" t="s">
        <v>2872</v>
      </c>
      <c r="K18" s="57" t="s">
        <v>2821</v>
      </c>
      <c r="L18" s="57" t="s">
        <v>2873</v>
      </c>
      <c r="M18" s="57"/>
      <c r="N18" t="s">
        <v>2874</v>
      </c>
      <c r="O18" s="57">
        <v>213456</v>
      </c>
    </row>
    <row r="19" spans="1:15">
      <c r="A19" s="57"/>
      <c r="B19" s="57" t="s">
        <v>2875</v>
      </c>
      <c r="C19" s="57" t="s">
        <v>2747</v>
      </c>
      <c r="D19" s="57" t="s">
        <v>2876</v>
      </c>
      <c r="E19" s="57"/>
      <c r="F19" s="57"/>
      <c r="G19" s="57" t="s">
        <v>2877</v>
      </c>
      <c r="H19" s="57" t="s">
        <v>2878</v>
      </c>
      <c r="I19" s="57"/>
      <c r="J19" s="60" t="s">
        <v>2879</v>
      </c>
      <c r="K19" s="57" t="s">
        <v>2752</v>
      </c>
      <c r="L19" s="57" t="s">
        <v>2880</v>
      </c>
      <c r="M19" s="57"/>
      <c r="N19" t="s">
        <v>2881</v>
      </c>
      <c r="O19" s="57">
        <v>79632</v>
      </c>
    </row>
    <row r="20" spans="1:15">
      <c r="A20" s="57"/>
      <c r="B20" s="57" t="s">
        <v>2882</v>
      </c>
      <c r="C20" s="57" t="s">
        <v>2747</v>
      </c>
      <c r="D20" s="57" t="s">
        <v>2883</v>
      </c>
      <c r="E20" s="57"/>
      <c r="F20" s="57"/>
      <c r="G20" s="57" t="s">
        <v>2884</v>
      </c>
      <c r="H20" s="60" t="s">
        <v>2885</v>
      </c>
      <c r="I20" s="57"/>
      <c r="J20" s="57" t="s">
        <v>2886</v>
      </c>
      <c r="K20" s="57" t="s">
        <v>2887</v>
      </c>
      <c r="L20" s="57" t="s">
        <v>2888</v>
      </c>
      <c r="M20" s="57"/>
      <c r="N20" t="s">
        <v>2889</v>
      </c>
      <c r="O20" s="57">
        <v>165284</v>
      </c>
    </row>
    <row r="21" spans="1:15">
      <c r="A21" s="57"/>
      <c r="B21" s="57" t="s">
        <v>2890</v>
      </c>
      <c r="C21" s="57" t="s">
        <v>2891</v>
      </c>
      <c r="D21" s="57" t="s">
        <v>2892</v>
      </c>
      <c r="E21" s="57"/>
      <c r="F21" s="57"/>
      <c r="G21" s="57" t="s">
        <v>2893</v>
      </c>
      <c r="H21" s="57" t="s">
        <v>2894</v>
      </c>
      <c r="I21" s="57"/>
      <c r="J21" s="57" t="s">
        <v>2895</v>
      </c>
      <c r="K21" s="57" t="s">
        <v>2752</v>
      </c>
      <c r="L21" s="57" t="s">
        <v>2896</v>
      </c>
      <c r="M21" s="57"/>
      <c r="N21" t="s">
        <v>2897</v>
      </c>
      <c r="O21" s="57">
        <v>504287</v>
      </c>
    </row>
    <row r="22" spans="1:15">
      <c r="A22" s="57"/>
      <c r="B22" s="57" t="s">
        <v>2898</v>
      </c>
      <c r="C22" s="57" t="s">
        <v>2810</v>
      </c>
      <c r="D22" s="57" t="s">
        <v>2899</v>
      </c>
      <c r="E22" s="57"/>
      <c r="F22" s="57"/>
      <c r="G22" s="57" t="s">
        <v>2900</v>
      </c>
      <c r="H22" s="57" t="s">
        <v>2901</v>
      </c>
      <c r="I22" s="57"/>
      <c r="J22" s="57" t="s">
        <v>2767</v>
      </c>
      <c r="K22" s="57" t="s">
        <v>2752</v>
      </c>
      <c r="L22" s="57" t="s">
        <v>2902</v>
      </c>
      <c r="M22" s="57"/>
      <c r="N22" t="s">
        <v>2903</v>
      </c>
      <c r="O22" s="57">
        <v>492621</v>
      </c>
    </row>
    <row r="23" spans="1:15">
      <c r="A23" s="57"/>
      <c r="B23" s="57" t="s">
        <v>2904</v>
      </c>
      <c r="C23" s="57" t="s">
        <v>2756</v>
      </c>
      <c r="D23" s="57" t="s">
        <v>2905</v>
      </c>
      <c r="E23" s="57"/>
      <c r="F23" s="57"/>
      <c r="G23" s="57" t="s">
        <v>2906</v>
      </c>
      <c r="H23" s="57" t="s">
        <v>2907</v>
      </c>
      <c r="I23" s="57"/>
      <c r="J23" s="57" t="s">
        <v>2908</v>
      </c>
      <c r="K23" s="57" t="s">
        <v>2752</v>
      </c>
      <c r="L23" s="57" t="s">
        <v>2909</v>
      </c>
      <c r="M23" s="79"/>
      <c r="N23" t="s">
        <v>2910</v>
      </c>
      <c r="O23" s="57">
        <v>261242</v>
      </c>
    </row>
    <row r="24" spans="1:15" s="1" customFormat="1">
      <c r="A24" s="60"/>
      <c r="B24" s="60" t="s">
        <v>2911</v>
      </c>
      <c r="C24" s="60" t="s">
        <v>2912</v>
      </c>
      <c r="D24" s="60" t="s">
        <v>2913</v>
      </c>
      <c r="E24" s="60"/>
      <c r="F24" s="60"/>
      <c r="G24" s="60" t="s">
        <v>2914</v>
      </c>
      <c r="H24" s="60" t="s">
        <v>2915</v>
      </c>
      <c r="I24" s="60"/>
      <c r="J24" s="60" t="s">
        <v>2916</v>
      </c>
      <c r="K24" s="60" t="s">
        <v>2887</v>
      </c>
      <c r="L24" s="230" t="s">
        <v>2917</v>
      </c>
      <c r="M24" s="18"/>
      <c r="N24" t="s">
        <v>2918</v>
      </c>
      <c r="O24" s="60">
        <v>287383</v>
      </c>
    </row>
    <row r="25" spans="1:15">
      <c r="A25" s="57"/>
      <c r="B25" s="57" t="s">
        <v>2919</v>
      </c>
      <c r="C25" s="57" t="s">
        <v>2841</v>
      </c>
      <c r="D25" s="57" t="s">
        <v>2920</v>
      </c>
      <c r="E25" s="57"/>
      <c r="F25" s="57"/>
      <c r="G25" s="57" t="s">
        <v>2921</v>
      </c>
      <c r="H25" s="57" t="s">
        <v>2922</v>
      </c>
      <c r="I25" s="57"/>
      <c r="J25" s="57" t="s">
        <v>2923</v>
      </c>
      <c r="K25" s="57" t="s">
        <v>2752</v>
      </c>
      <c r="L25" s="57" t="s">
        <v>2924</v>
      </c>
      <c r="M25" s="57"/>
      <c r="N25" t="s">
        <v>2925</v>
      </c>
      <c r="O25" s="57">
        <v>491299</v>
      </c>
    </row>
    <row r="26" spans="1:15">
      <c r="A26" s="57"/>
      <c r="B26" s="57" t="s">
        <v>2926</v>
      </c>
      <c r="C26" s="57" t="s">
        <v>2841</v>
      </c>
      <c r="D26" s="57" t="s">
        <v>2927</v>
      </c>
      <c r="E26" s="57"/>
      <c r="F26" s="57"/>
      <c r="G26" s="57" t="s">
        <v>2928</v>
      </c>
      <c r="H26" s="57" t="s">
        <v>2929</v>
      </c>
      <c r="I26" s="57"/>
      <c r="J26" s="57" t="s">
        <v>2930</v>
      </c>
      <c r="K26" s="57" t="s">
        <v>2752</v>
      </c>
      <c r="L26" s="57" t="s">
        <v>2931</v>
      </c>
      <c r="M26" s="57"/>
      <c r="N26" s="243" t="s">
        <v>2932</v>
      </c>
      <c r="O26" s="57">
        <v>518743</v>
      </c>
    </row>
    <row r="27" spans="1:15">
      <c r="A27" s="57"/>
      <c r="B27" s="57" t="s">
        <v>2933</v>
      </c>
      <c r="C27" s="57" t="s">
        <v>2841</v>
      </c>
      <c r="D27" s="57" t="s">
        <v>2934</v>
      </c>
      <c r="E27" s="57"/>
      <c r="F27" s="57"/>
      <c r="G27" s="57" t="s">
        <v>2935</v>
      </c>
      <c r="H27" s="57" t="s">
        <v>2936</v>
      </c>
      <c r="I27" s="57"/>
      <c r="J27" s="57" t="s">
        <v>2937</v>
      </c>
      <c r="K27" s="57" t="s">
        <v>2938</v>
      </c>
      <c r="L27" s="57" t="s">
        <v>2939</v>
      </c>
      <c r="M27" s="79"/>
      <c r="N27" t="s">
        <v>2940</v>
      </c>
      <c r="O27" s="57">
        <v>485831</v>
      </c>
    </row>
    <row r="28" spans="1:15">
      <c r="A28" s="57"/>
      <c r="B28" s="57" t="s">
        <v>2941</v>
      </c>
      <c r="C28" s="57" t="s">
        <v>2833</v>
      </c>
      <c r="D28" s="57" t="s">
        <v>2942</v>
      </c>
      <c r="E28" s="57"/>
      <c r="F28" s="57"/>
      <c r="G28" s="57" t="s">
        <v>2943</v>
      </c>
      <c r="H28" s="57" t="s">
        <v>2944</v>
      </c>
      <c r="I28" s="57"/>
      <c r="J28" s="57" t="s">
        <v>2945</v>
      </c>
      <c r="K28" s="57" t="s">
        <v>2752</v>
      </c>
      <c r="L28" s="57" t="s">
        <v>2946</v>
      </c>
      <c r="M28" s="57"/>
      <c r="N28" t="s">
        <v>2947</v>
      </c>
      <c r="O28" s="57">
        <v>522194</v>
      </c>
    </row>
    <row r="29" spans="1:15">
      <c r="A29" s="57"/>
      <c r="B29" s="57" t="s">
        <v>2948</v>
      </c>
      <c r="C29" s="57"/>
      <c r="D29" s="57" t="s">
        <v>2949</v>
      </c>
      <c r="E29" s="57"/>
      <c r="F29" s="57"/>
      <c r="G29" s="57" t="s">
        <v>2950</v>
      </c>
      <c r="H29" s="57" t="s">
        <v>2951</v>
      </c>
      <c r="I29" s="57"/>
      <c r="J29" s="57" t="s">
        <v>2952</v>
      </c>
      <c r="K29" s="57" t="s">
        <v>2752</v>
      </c>
      <c r="L29" s="61" t="s">
        <v>2953</v>
      </c>
      <c r="M29" s="80"/>
      <c r="N29" t="s">
        <v>2954</v>
      </c>
      <c r="O29" s="57">
        <v>505974</v>
      </c>
    </row>
    <row r="30" spans="1:15">
      <c r="A30" s="57"/>
      <c r="B30" s="57" t="s">
        <v>2955</v>
      </c>
      <c r="C30" s="57" t="s">
        <v>2763</v>
      </c>
      <c r="D30" s="57" t="s">
        <v>2949</v>
      </c>
      <c r="E30" s="57"/>
      <c r="F30" s="57"/>
      <c r="G30" s="57" t="s">
        <v>2956</v>
      </c>
      <c r="H30" s="57" t="s">
        <v>2944</v>
      </c>
      <c r="I30" s="57"/>
      <c r="J30" s="57" t="s">
        <v>2957</v>
      </c>
      <c r="K30" s="57" t="s">
        <v>2752</v>
      </c>
      <c r="L30" s="57" t="s">
        <v>2958</v>
      </c>
      <c r="M30" s="37"/>
      <c r="N30" t="s">
        <v>2959</v>
      </c>
      <c r="O30" s="57">
        <v>474113</v>
      </c>
    </row>
    <row r="31" spans="1:15">
      <c r="A31" s="57"/>
      <c r="B31" s="57" t="s">
        <v>2960</v>
      </c>
      <c r="C31" s="57" t="s">
        <v>2841</v>
      </c>
      <c r="D31" s="57" t="s">
        <v>2949</v>
      </c>
      <c r="E31" s="57"/>
      <c r="F31" s="57"/>
      <c r="G31" s="57" t="s">
        <v>2961</v>
      </c>
      <c r="H31" s="57" t="s">
        <v>2962</v>
      </c>
      <c r="I31" s="57"/>
      <c r="J31" s="57" t="s">
        <v>2963</v>
      </c>
      <c r="K31" s="57" t="s">
        <v>2938</v>
      </c>
      <c r="L31" s="57" t="s">
        <v>2964</v>
      </c>
      <c r="M31" s="79"/>
      <c r="N31" t="s">
        <v>2965</v>
      </c>
      <c r="O31" s="57">
        <v>261091</v>
      </c>
    </row>
    <row r="32" spans="1:15">
      <c r="A32" s="57"/>
      <c r="B32" s="57" t="s">
        <v>2966</v>
      </c>
      <c r="C32" s="57" t="s">
        <v>2967</v>
      </c>
      <c r="D32" s="57" t="s">
        <v>2949</v>
      </c>
      <c r="E32" s="57"/>
      <c r="F32" s="57"/>
      <c r="G32" s="57" t="s">
        <v>2968</v>
      </c>
      <c r="H32" s="57" t="s">
        <v>2969</v>
      </c>
      <c r="I32" s="57"/>
      <c r="J32" s="57" t="s">
        <v>2970</v>
      </c>
      <c r="K32" s="57" t="s">
        <v>2752</v>
      </c>
      <c r="L32" s="57" t="s">
        <v>2971</v>
      </c>
      <c r="M32" s="79"/>
      <c r="N32" t="s">
        <v>2972</v>
      </c>
      <c r="O32" s="57">
        <v>483820</v>
      </c>
    </row>
    <row r="33" spans="1:16">
      <c r="A33" s="57"/>
      <c r="B33" s="57" t="s">
        <v>2973</v>
      </c>
      <c r="C33" s="57"/>
      <c r="D33" s="57" t="s">
        <v>2974</v>
      </c>
      <c r="E33" s="57"/>
      <c r="F33" s="57"/>
      <c r="G33" s="57" t="s">
        <v>2975</v>
      </c>
      <c r="H33" s="57" t="s">
        <v>2976</v>
      </c>
      <c r="I33" s="57"/>
      <c r="J33" s="57" t="s">
        <v>2977</v>
      </c>
      <c r="K33" s="57" t="s">
        <v>2938</v>
      </c>
      <c r="L33" s="61" t="s">
        <v>2978</v>
      </c>
      <c r="M33" s="79"/>
      <c r="N33" t="s">
        <v>2979</v>
      </c>
      <c r="O33" s="57">
        <v>475914</v>
      </c>
    </row>
    <row r="34" spans="1:16">
      <c r="A34" s="57"/>
      <c r="B34" s="57" t="s">
        <v>2980</v>
      </c>
      <c r="C34" s="57" t="s">
        <v>2855</v>
      </c>
      <c r="D34" s="57" t="s">
        <v>2981</v>
      </c>
      <c r="E34" s="57"/>
      <c r="F34" s="57"/>
      <c r="G34" s="57" t="s">
        <v>2982</v>
      </c>
      <c r="H34" s="57" t="s">
        <v>2983</v>
      </c>
      <c r="I34" s="57"/>
      <c r="J34" s="57" t="s">
        <v>2984</v>
      </c>
      <c r="K34" s="57" t="s">
        <v>2752</v>
      </c>
      <c r="L34" s="57" t="s">
        <v>2985</v>
      </c>
      <c r="M34" s="57" t="s">
        <v>2986</v>
      </c>
      <c r="N34" s="243" t="s">
        <v>2987</v>
      </c>
      <c r="O34" s="57">
        <v>467295</v>
      </c>
    </row>
    <row r="35" spans="1:16">
      <c r="A35" s="57"/>
      <c r="B35" s="57" t="s">
        <v>2988</v>
      </c>
      <c r="C35" s="57"/>
      <c r="D35" s="57" t="s">
        <v>2989</v>
      </c>
      <c r="E35" s="57"/>
      <c r="F35" s="57"/>
      <c r="G35" s="57" t="s">
        <v>2990</v>
      </c>
      <c r="H35" s="57" t="s">
        <v>2991</v>
      </c>
      <c r="I35" s="57"/>
      <c r="J35" s="57" t="s">
        <v>2992</v>
      </c>
      <c r="K35" s="57" t="s">
        <v>2938</v>
      </c>
      <c r="L35" s="61" t="s">
        <v>2993</v>
      </c>
      <c r="M35" s="79"/>
      <c r="N35" t="s">
        <v>2994</v>
      </c>
      <c r="O35" s="57">
        <v>286004</v>
      </c>
    </row>
    <row r="36" spans="1:16">
      <c r="A36" s="57"/>
      <c r="B36" s="57" t="s">
        <v>2995</v>
      </c>
      <c r="C36" s="57" t="s">
        <v>2996</v>
      </c>
      <c r="D36" s="57" t="s">
        <v>2997</v>
      </c>
      <c r="E36" s="57"/>
      <c r="F36" s="57"/>
      <c r="G36" s="57" t="s">
        <v>2998</v>
      </c>
      <c r="H36" s="57" t="s">
        <v>2999</v>
      </c>
      <c r="I36" s="57"/>
      <c r="J36" s="57" t="s">
        <v>3000</v>
      </c>
      <c r="K36" s="57" t="s">
        <v>2752</v>
      </c>
      <c r="L36" s="57" t="s">
        <v>3001</v>
      </c>
      <c r="M36" s="57" t="s">
        <v>2807</v>
      </c>
      <c r="N36" s="243" t="s">
        <v>2987</v>
      </c>
      <c r="O36" s="57">
        <v>501101</v>
      </c>
    </row>
    <row r="37" spans="1:16">
      <c r="A37" s="57"/>
      <c r="B37" s="57" t="s">
        <v>3002</v>
      </c>
      <c r="C37" s="57"/>
      <c r="D37" s="57" t="s">
        <v>3003</v>
      </c>
      <c r="E37" s="57"/>
      <c r="F37" s="57"/>
      <c r="G37" s="57" t="s">
        <v>3004</v>
      </c>
      <c r="H37" s="57" t="s">
        <v>3005</v>
      </c>
      <c r="I37" s="57"/>
      <c r="J37" s="57" t="s">
        <v>3006</v>
      </c>
      <c r="K37" s="57" t="s">
        <v>2752</v>
      </c>
      <c r="L37" s="58" t="s">
        <v>3007</v>
      </c>
      <c r="M37" s="72"/>
      <c r="N37" t="s">
        <v>3008</v>
      </c>
      <c r="O37" s="57">
        <v>540932</v>
      </c>
    </row>
    <row r="38" spans="1:16">
      <c r="A38" s="57"/>
      <c r="B38" s="57" t="s">
        <v>3009</v>
      </c>
      <c r="C38" s="57" t="s">
        <v>2891</v>
      </c>
      <c r="D38" s="57" t="s">
        <v>3010</v>
      </c>
      <c r="E38" s="57"/>
      <c r="F38" s="57"/>
      <c r="G38" s="57" t="s">
        <v>3011</v>
      </c>
      <c r="H38" s="57" t="s">
        <v>3012</v>
      </c>
      <c r="I38" s="57"/>
      <c r="J38" s="57" t="s">
        <v>3013</v>
      </c>
      <c r="K38" s="57" t="s">
        <v>2752</v>
      </c>
      <c r="L38" s="57" t="s">
        <v>3014</v>
      </c>
      <c r="M38" s="79"/>
      <c r="N38" t="s">
        <v>3015</v>
      </c>
      <c r="O38" s="57">
        <v>539157</v>
      </c>
    </row>
    <row r="39" spans="1:16" s="1" customFormat="1" ht="16.5">
      <c r="A39" s="60"/>
      <c r="B39" s="60" t="s">
        <v>3016</v>
      </c>
      <c r="C39" s="60" t="s">
        <v>3017</v>
      </c>
      <c r="D39" s="60" t="s">
        <v>3018</v>
      </c>
      <c r="E39" s="60"/>
      <c r="F39" s="60"/>
      <c r="G39" s="60" t="s">
        <v>3019</v>
      </c>
      <c r="H39" s="60" t="s">
        <v>3020</v>
      </c>
      <c r="I39" s="60"/>
      <c r="J39" s="60" t="s">
        <v>3021</v>
      </c>
      <c r="K39" s="60" t="s">
        <v>2752</v>
      </c>
      <c r="L39" s="230" t="s">
        <v>3022</v>
      </c>
      <c r="M39"/>
      <c r="N39" t="s">
        <v>3023</v>
      </c>
      <c r="O39" s="232">
        <v>539554</v>
      </c>
      <c r="P39" s="232"/>
    </row>
    <row r="40" spans="1:16" s="1" customFormat="1" ht="16.5">
      <c r="A40" s="60"/>
      <c r="B40" s="60" t="s">
        <v>2980</v>
      </c>
      <c r="C40" s="60" t="s">
        <v>2756</v>
      </c>
      <c r="D40" s="60" t="s">
        <v>3024</v>
      </c>
      <c r="E40" s="60"/>
      <c r="F40" s="60"/>
      <c r="G40" s="60"/>
      <c r="H40" s="60" t="s">
        <v>3025</v>
      </c>
      <c r="I40" s="60"/>
      <c r="J40" s="60"/>
      <c r="K40" s="60"/>
      <c r="L40" s="60" t="s">
        <v>3026</v>
      </c>
      <c r="M40" s="18"/>
      <c r="N40" t="s">
        <v>3027</v>
      </c>
      <c r="O40" s="252">
        <v>490192</v>
      </c>
      <c r="P40"/>
    </row>
    <row r="41" spans="1:16" s="1" customFormat="1">
      <c r="A41" s="60"/>
      <c r="B41" s="60" t="s">
        <v>3028</v>
      </c>
      <c r="C41" s="60" t="s">
        <v>2810</v>
      </c>
      <c r="D41" s="60" t="s">
        <v>3029</v>
      </c>
      <c r="E41" s="60"/>
      <c r="F41" s="60"/>
      <c r="G41" s="60" t="s">
        <v>3030</v>
      </c>
      <c r="H41" s="60" t="s">
        <v>3031</v>
      </c>
      <c r="I41" s="60"/>
      <c r="J41" s="60" t="s">
        <v>3032</v>
      </c>
      <c r="K41" s="60" t="s">
        <v>2752</v>
      </c>
      <c r="L41" s="60" t="s">
        <v>3033</v>
      </c>
      <c r="M41" s="60"/>
      <c r="N41" t="s">
        <v>3034</v>
      </c>
      <c r="O41" s="60">
        <v>212851</v>
      </c>
    </row>
    <row r="42" spans="1:16" s="1" customFormat="1">
      <c r="A42" s="60"/>
      <c r="B42" s="60" t="s">
        <v>3035</v>
      </c>
      <c r="C42" s="60" t="s">
        <v>3036</v>
      </c>
      <c r="D42" s="60" t="s">
        <v>3029</v>
      </c>
      <c r="E42" s="60"/>
      <c r="F42" s="60"/>
      <c r="G42" s="60" t="s">
        <v>3037</v>
      </c>
      <c r="H42" s="60" t="s">
        <v>3038</v>
      </c>
      <c r="I42" s="60"/>
      <c r="J42" s="60" t="s">
        <v>2792</v>
      </c>
      <c r="K42" s="60" t="s">
        <v>2752</v>
      </c>
      <c r="L42" s="60" t="s">
        <v>3039</v>
      </c>
      <c r="M42" s="60" t="s">
        <v>2807</v>
      </c>
      <c r="N42" s="60" t="s">
        <v>3040</v>
      </c>
      <c r="O42" s="60">
        <v>482027</v>
      </c>
    </row>
    <row r="43" spans="1:16" s="1" customFormat="1">
      <c r="A43" s="60"/>
      <c r="B43" s="60" t="s">
        <v>3041</v>
      </c>
      <c r="C43" s="60"/>
      <c r="D43" s="60" t="s">
        <v>3042</v>
      </c>
      <c r="E43" s="60"/>
      <c r="F43" s="60"/>
      <c r="G43" s="60" t="s">
        <v>3043</v>
      </c>
      <c r="H43" s="60" t="s">
        <v>3044</v>
      </c>
      <c r="I43" s="60"/>
      <c r="J43" s="60" t="s">
        <v>3045</v>
      </c>
      <c r="K43" s="60" t="s">
        <v>2752</v>
      </c>
      <c r="L43" s="60" t="s">
        <v>3046</v>
      </c>
      <c r="M43" s="60" t="s">
        <v>3047</v>
      </c>
      <c r="N43" s="245" t="s">
        <v>2987</v>
      </c>
      <c r="O43" s="60">
        <v>79882</v>
      </c>
    </row>
    <row r="44" spans="1:16" s="1" customFormat="1">
      <c r="A44" s="60"/>
      <c r="B44" s="60" t="s">
        <v>3048</v>
      </c>
      <c r="C44" s="60" t="s">
        <v>3049</v>
      </c>
      <c r="D44" s="60" t="s">
        <v>3050</v>
      </c>
      <c r="E44" s="60" t="s">
        <v>3051</v>
      </c>
      <c r="F44" s="60"/>
      <c r="G44" s="60" t="s">
        <v>2877</v>
      </c>
      <c r="H44" s="60" t="s">
        <v>3052</v>
      </c>
      <c r="I44" s="60"/>
      <c r="J44" s="60" t="s">
        <v>3053</v>
      </c>
      <c r="K44" s="60" t="s">
        <v>2752</v>
      </c>
      <c r="L44" s="60" t="s">
        <v>3054</v>
      </c>
      <c r="M44" s="60" t="s">
        <v>2807</v>
      </c>
      <c r="N44" s="245" t="s">
        <v>3055</v>
      </c>
      <c r="O44" s="60">
        <v>79542</v>
      </c>
    </row>
    <row r="45" spans="1:16" s="1" customFormat="1">
      <c r="A45" s="60"/>
      <c r="B45" s="60" t="s">
        <v>3056</v>
      </c>
      <c r="C45" s="60" t="s">
        <v>2891</v>
      </c>
      <c r="D45" s="60" t="s">
        <v>3057</v>
      </c>
      <c r="E45" s="60"/>
      <c r="F45" s="60"/>
      <c r="G45" s="60" t="s">
        <v>3058</v>
      </c>
      <c r="H45" s="60" t="s">
        <v>3059</v>
      </c>
      <c r="I45" s="60"/>
      <c r="J45" s="60" t="s">
        <v>3060</v>
      </c>
      <c r="K45" s="60" t="s">
        <v>2752</v>
      </c>
      <c r="L45" s="230" t="s">
        <v>3061</v>
      </c>
      <c r="M45" s="60"/>
      <c r="N45" t="s">
        <v>3062</v>
      </c>
      <c r="O45" s="60">
        <v>497502</v>
      </c>
    </row>
    <row r="46" spans="1:16" s="1" customFormat="1">
      <c r="A46" s="60"/>
      <c r="B46" s="60" t="s">
        <v>3063</v>
      </c>
      <c r="C46" s="60" t="s">
        <v>2756</v>
      </c>
      <c r="D46" s="60" t="s">
        <v>3064</v>
      </c>
      <c r="E46" s="60"/>
      <c r="F46" s="60"/>
      <c r="G46" s="60" t="s">
        <v>3065</v>
      </c>
      <c r="H46" s="60" t="s">
        <v>3066</v>
      </c>
      <c r="I46" s="60"/>
      <c r="J46" s="60" t="s">
        <v>3067</v>
      </c>
      <c r="K46" s="60" t="s">
        <v>2752</v>
      </c>
      <c r="L46" s="60" t="s">
        <v>3068</v>
      </c>
      <c r="M46" s="60" t="s">
        <v>3047</v>
      </c>
      <c r="N46" s="245" t="s">
        <v>2987</v>
      </c>
      <c r="O46" s="60">
        <v>466821</v>
      </c>
    </row>
    <row r="47" spans="1:16" s="1" customFormat="1">
      <c r="A47" s="60"/>
      <c r="B47" s="60" t="s">
        <v>3069</v>
      </c>
      <c r="C47" s="60"/>
      <c r="D47" s="60" t="s">
        <v>3064</v>
      </c>
      <c r="E47" s="60"/>
      <c r="F47" s="60"/>
      <c r="G47" s="60" t="s">
        <v>3070</v>
      </c>
      <c r="H47" s="60" t="s">
        <v>3071</v>
      </c>
      <c r="I47" s="60"/>
      <c r="J47" s="60" t="s">
        <v>3072</v>
      </c>
      <c r="K47" s="60" t="s">
        <v>2752</v>
      </c>
      <c r="L47" s="230" t="s">
        <v>3073</v>
      </c>
      <c r="M47" s="231"/>
      <c r="N47" s="18" t="s">
        <v>3074</v>
      </c>
      <c r="O47" s="60">
        <v>504504</v>
      </c>
    </row>
    <row r="48" spans="1:16" s="1" customFormat="1">
      <c r="A48" s="60"/>
      <c r="B48" s="60" t="s">
        <v>3075</v>
      </c>
      <c r="C48" s="60" t="s">
        <v>3076</v>
      </c>
      <c r="D48" s="60" t="s">
        <v>3064</v>
      </c>
      <c r="E48" s="60"/>
      <c r="F48" s="60"/>
      <c r="G48" s="60" t="s">
        <v>3077</v>
      </c>
      <c r="H48" s="60" t="s">
        <v>2944</v>
      </c>
      <c r="I48" s="60"/>
      <c r="J48" s="60" t="s">
        <v>2957</v>
      </c>
      <c r="K48" s="60" t="s">
        <v>2752</v>
      </c>
      <c r="L48" s="60" t="s">
        <v>3078</v>
      </c>
      <c r="M48" s="60" t="s">
        <v>2807</v>
      </c>
      <c r="N48" s="60" t="s">
        <v>3079</v>
      </c>
      <c r="O48" s="60">
        <v>488838</v>
      </c>
    </row>
    <row r="49" spans="1:16" s="1" customFormat="1">
      <c r="A49" s="60"/>
      <c r="B49" s="60" t="s">
        <v>3080</v>
      </c>
      <c r="C49" s="60"/>
      <c r="D49" s="60" t="s">
        <v>3081</v>
      </c>
      <c r="E49" s="60"/>
      <c r="F49" s="60"/>
      <c r="G49" s="60"/>
      <c r="H49" s="60" t="s">
        <v>3082</v>
      </c>
      <c r="I49" s="60"/>
      <c r="J49" s="60"/>
      <c r="K49" s="60"/>
      <c r="L49" s="60" t="s">
        <v>3083</v>
      </c>
      <c r="M49" s="60" t="s">
        <v>3047</v>
      </c>
      <c r="N49" s="246" t="s">
        <v>2987</v>
      </c>
      <c r="O49" s="60">
        <v>539692</v>
      </c>
    </row>
    <row r="50" spans="1:16" s="1" customFormat="1">
      <c r="A50" s="60"/>
      <c r="B50" s="60" t="s">
        <v>3084</v>
      </c>
      <c r="C50" s="60"/>
      <c r="D50" s="60" t="s">
        <v>3081</v>
      </c>
      <c r="E50" s="60"/>
      <c r="F50" s="60"/>
      <c r="G50" s="60" t="s">
        <v>3085</v>
      </c>
      <c r="H50" s="60" t="s">
        <v>3086</v>
      </c>
      <c r="I50" s="60"/>
      <c r="J50" s="60" t="s">
        <v>3087</v>
      </c>
      <c r="K50" s="60" t="s">
        <v>2938</v>
      </c>
      <c r="L50" s="1" t="s">
        <v>3088</v>
      </c>
      <c r="M50"/>
      <c r="N50" t="s">
        <v>3089</v>
      </c>
      <c r="O50" s="60">
        <v>162132</v>
      </c>
    </row>
    <row r="51" spans="1:16" s="1" customFormat="1">
      <c r="A51" s="60"/>
      <c r="B51" s="60" t="s">
        <v>3090</v>
      </c>
      <c r="C51" s="60"/>
      <c r="D51" s="60" t="s">
        <v>3081</v>
      </c>
      <c r="E51" s="60"/>
      <c r="F51" s="60"/>
      <c r="G51" s="60" t="s">
        <v>3091</v>
      </c>
      <c r="H51" s="60" t="s">
        <v>3092</v>
      </c>
      <c r="I51" s="60"/>
      <c r="J51" s="60" t="s">
        <v>3093</v>
      </c>
      <c r="K51" s="60" t="s">
        <v>2938</v>
      </c>
      <c r="L51" s="230" t="s">
        <v>3094</v>
      </c>
      <c r="M51" s="63"/>
      <c r="N51" t="s">
        <v>3095</v>
      </c>
      <c r="O51" s="60">
        <v>548085</v>
      </c>
    </row>
    <row r="52" spans="1:16" s="1" customFormat="1">
      <c r="A52" s="60"/>
      <c r="B52" s="60" t="s">
        <v>3096</v>
      </c>
      <c r="C52" s="60" t="s">
        <v>3097</v>
      </c>
      <c r="D52" s="60" t="s">
        <v>3098</v>
      </c>
      <c r="E52" s="60"/>
      <c r="F52" s="60"/>
      <c r="G52" s="60"/>
      <c r="H52" s="60" t="s">
        <v>3099</v>
      </c>
      <c r="I52" s="60"/>
      <c r="J52" s="60"/>
      <c r="K52" s="60"/>
      <c r="L52" s="60" t="s">
        <v>3100</v>
      </c>
      <c r="M52" s="60"/>
      <c r="N52" t="s">
        <v>3101</v>
      </c>
      <c r="O52" s="60">
        <v>495059</v>
      </c>
    </row>
    <row r="53" spans="1:16" s="1" customFormat="1">
      <c r="A53" s="60"/>
      <c r="B53" s="60" t="s">
        <v>3102</v>
      </c>
      <c r="C53" s="60" t="s">
        <v>3097</v>
      </c>
      <c r="D53" s="60" t="s">
        <v>3103</v>
      </c>
      <c r="E53" s="60"/>
      <c r="F53" s="60"/>
      <c r="G53" s="60" t="s">
        <v>3104</v>
      </c>
      <c r="H53" s="60" t="s">
        <v>3105</v>
      </c>
      <c r="I53" s="60"/>
      <c r="J53" s="60" t="s">
        <v>3106</v>
      </c>
      <c r="K53" s="60" t="s">
        <v>2752</v>
      </c>
      <c r="L53" s="60" t="s">
        <v>3107</v>
      </c>
      <c r="M53" s="60" t="s">
        <v>2807</v>
      </c>
      <c r="N53" t="s">
        <v>2987</v>
      </c>
      <c r="O53" s="60">
        <v>502838</v>
      </c>
    </row>
    <row r="54" spans="1:16" s="1" customFormat="1">
      <c r="A54" s="60"/>
      <c r="B54" s="60" t="s">
        <v>3108</v>
      </c>
      <c r="C54" s="60" t="s">
        <v>2996</v>
      </c>
      <c r="D54" s="60" t="s">
        <v>3109</v>
      </c>
      <c r="E54" s="60"/>
      <c r="F54" s="60"/>
      <c r="G54" s="60"/>
      <c r="H54" s="60" t="s">
        <v>3110</v>
      </c>
      <c r="I54" s="60"/>
      <c r="J54" s="60"/>
      <c r="K54" s="60"/>
      <c r="L54" s="60" t="s">
        <v>3111</v>
      </c>
      <c r="M54" s="60" t="s">
        <v>3047</v>
      </c>
      <c r="N54" s="245" t="s">
        <v>2987</v>
      </c>
      <c r="O54" s="60">
        <v>467015</v>
      </c>
    </row>
    <row r="55" spans="1:16" s="1" customFormat="1">
      <c r="A55" s="60"/>
      <c r="B55" s="60" t="s">
        <v>3112</v>
      </c>
      <c r="C55" s="60" t="s">
        <v>2747</v>
      </c>
      <c r="D55" s="60" t="s">
        <v>3109</v>
      </c>
      <c r="E55" s="60"/>
      <c r="F55" s="60"/>
      <c r="G55" s="60" t="s">
        <v>3113</v>
      </c>
      <c r="H55" s="60" t="s">
        <v>3114</v>
      </c>
      <c r="I55" s="60"/>
      <c r="J55" s="60" t="s">
        <v>3115</v>
      </c>
      <c r="K55" s="60" t="s">
        <v>2752</v>
      </c>
      <c r="L55" s="60" t="s">
        <v>3116</v>
      </c>
      <c r="M55" s="18"/>
      <c r="N55" t="s">
        <v>3117</v>
      </c>
      <c r="O55" s="60">
        <v>261359</v>
      </c>
    </row>
    <row r="56" spans="1:16" s="1" customFormat="1">
      <c r="A56" s="60"/>
      <c r="B56" s="60" t="s">
        <v>3118</v>
      </c>
      <c r="C56" s="60"/>
      <c r="D56" s="60" t="s">
        <v>3119</v>
      </c>
      <c r="E56" s="60"/>
      <c r="F56" s="60"/>
      <c r="G56" s="60" t="s">
        <v>2877</v>
      </c>
      <c r="H56" s="60" t="s">
        <v>2878</v>
      </c>
      <c r="I56" s="60"/>
      <c r="J56" s="60" t="s">
        <v>3120</v>
      </c>
      <c r="K56" s="60" t="s">
        <v>2752</v>
      </c>
      <c r="L56" s="230" t="s">
        <v>3121</v>
      </c>
      <c r="M56" s="231"/>
      <c r="N56" t="s">
        <v>3122</v>
      </c>
      <c r="O56" s="60">
        <v>543796</v>
      </c>
    </row>
    <row r="57" spans="1:16" s="1" customFormat="1">
      <c r="A57" s="60"/>
      <c r="B57" s="60" t="s">
        <v>3123</v>
      </c>
      <c r="C57" s="60" t="s">
        <v>2756</v>
      </c>
      <c r="D57" s="60" t="s">
        <v>3124</v>
      </c>
      <c r="E57" s="60"/>
      <c r="F57" s="60"/>
      <c r="G57" s="60" t="s">
        <v>3125</v>
      </c>
      <c r="H57" s="60" t="s">
        <v>3126</v>
      </c>
      <c r="I57" s="60"/>
      <c r="J57" s="60" t="s">
        <v>3127</v>
      </c>
      <c r="K57" s="60" t="s">
        <v>2752</v>
      </c>
      <c r="L57" s="60" t="s">
        <v>3128</v>
      </c>
      <c r="M57" s="18"/>
      <c r="N57" s="244" t="s">
        <v>3129</v>
      </c>
      <c r="O57" s="60">
        <v>81239</v>
      </c>
    </row>
    <row r="58" spans="1:16" s="1" customFormat="1">
      <c r="A58" s="60"/>
      <c r="B58" s="60" t="s">
        <v>3130</v>
      </c>
      <c r="C58" s="60" t="s">
        <v>2756</v>
      </c>
      <c r="D58" s="60" t="s">
        <v>3131</v>
      </c>
      <c r="E58" s="60"/>
      <c r="F58" s="60"/>
      <c r="G58" s="60" t="s">
        <v>3132</v>
      </c>
      <c r="H58" s="60" t="s">
        <v>2944</v>
      </c>
      <c r="I58" s="60"/>
      <c r="J58" s="60" t="s">
        <v>2945</v>
      </c>
      <c r="K58" s="60" t="s">
        <v>2752</v>
      </c>
      <c r="L58" s="60" t="s">
        <v>3133</v>
      </c>
      <c r="M58" s="60" t="s">
        <v>2807</v>
      </c>
      <c r="N58" t="s">
        <v>3134</v>
      </c>
      <c r="O58" s="60">
        <v>529482</v>
      </c>
    </row>
    <row r="59" spans="1:16" s="1" customFormat="1">
      <c r="A59" s="60"/>
      <c r="B59" s="60" t="s">
        <v>3135</v>
      </c>
      <c r="C59" s="60" t="s">
        <v>2833</v>
      </c>
      <c r="D59" s="60" t="s">
        <v>3136</v>
      </c>
      <c r="E59" s="60"/>
      <c r="F59" s="60"/>
      <c r="G59" s="60" t="s">
        <v>3137</v>
      </c>
      <c r="H59" s="60" t="s">
        <v>3138</v>
      </c>
      <c r="I59" s="60"/>
      <c r="J59" s="60" t="s">
        <v>3139</v>
      </c>
      <c r="K59" s="60" t="s">
        <v>2752</v>
      </c>
      <c r="L59" s="60" t="s">
        <v>3140</v>
      </c>
      <c r="M59" s="60" t="s">
        <v>2807</v>
      </c>
      <c r="N59" s="60" t="s">
        <v>3141</v>
      </c>
      <c r="O59" s="60">
        <v>487229</v>
      </c>
      <c r="P59" s="63"/>
    </row>
    <row r="60" spans="1:16" s="1" customFormat="1">
      <c r="A60" s="60"/>
      <c r="B60" s="60" t="s">
        <v>3142</v>
      </c>
      <c r="C60" s="60" t="s">
        <v>2810</v>
      </c>
      <c r="D60" s="60" t="s">
        <v>3143</v>
      </c>
      <c r="E60" s="60"/>
      <c r="F60" s="60"/>
      <c r="G60" s="60" t="s">
        <v>3144</v>
      </c>
      <c r="H60" s="60" t="s">
        <v>3145</v>
      </c>
      <c r="I60" s="60"/>
      <c r="J60" s="60" t="s">
        <v>3146</v>
      </c>
      <c r="K60" s="60" t="s">
        <v>2752</v>
      </c>
      <c r="L60" s="60" t="s">
        <v>3147</v>
      </c>
      <c r="M60" s="18"/>
      <c r="N60" s="246" t="s">
        <v>3148</v>
      </c>
      <c r="O60" s="60">
        <v>533308</v>
      </c>
    </row>
    <row r="61" spans="1:16" s="1" customFormat="1">
      <c r="A61" s="60"/>
      <c r="B61" s="60" t="s">
        <v>3149</v>
      </c>
      <c r="C61" s="60" t="s">
        <v>2855</v>
      </c>
      <c r="D61" s="60" t="s">
        <v>3150</v>
      </c>
      <c r="E61" s="60"/>
      <c r="F61" s="60"/>
      <c r="G61" s="60" t="s">
        <v>3151</v>
      </c>
      <c r="H61" s="60" t="s">
        <v>3152</v>
      </c>
      <c r="I61" s="60"/>
      <c r="J61" s="60" t="s">
        <v>3153</v>
      </c>
      <c r="K61" s="60" t="s">
        <v>2752</v>
      </c>
      <c r="L61" s="60" t="s">
        <v>3154</v>
      </c>
      <c r="M61" s="18"/>
      <c r="N61" t="s">
        <v>3155</v>
      </c>
      <c r="O61" s="60">
        <v>219478</v>
      </c>
    </row>
    <row r="62" spans="1:16" s="1" customFormat="1" ht="16.5">
      <c r="A62" s="60"/>
      <c r="B62" s="60" t="s">
        <v>3156</v>
      </c>
      <c r="C62" s="60"/>
      <c r="D62" s="60" t="s">
        <v>3157</v>
      </c>
      <c r="E62" s="60"/>
      <c r="F62" s="60"/>
      <c r="G62" s="60" t="s">
        <v>3158</v>
      </c>
      <c r="H62" s="60" t="s">
        <v>3159</v>
      </c>
      <c r="I62" s="60"/>
      <c r="J62" s="60" t="s">
        <v>3072</v>
      </c>
      <c r="K62" s="60" t="s">
        <v>2752</v>
      </c>
      <c r="L62" s="251" t="s">
        <v>3160</v>
      </c>
      <c r="M62" s="18"/>
      <c r="N62" t="s">
        <v>3161</v>
      </c>
      <c r="O62" s="252">
        <v>548210</v>
      </c>
    </row>
    <row r="63" spans="1:16" s="1" customFormat="1">
      <c r="A63" s="60"/>
      <c r="B63" s="60" t="s">
        <v>3162</v>
      </c>
      <c r="C63" s="60"/>
      <c r="D63" s="60" t="s">
        <v>3163</v>
      </c>
      <c r="E63" s="60"/>
      <c r="F63" s="60"/>
      <c r="G63" s="60" t="s">
        <v>3164</v>
      </c>
      <c r="H63" s="60" t="s">
        <v>3165</v>
      </c>
      <c r="I63" s="60"/>
      <c r="J63" s="60" t="s">
        <v>3006</v>
      </c>
      <c r="K63" s="60" t="s">
        <v>2887</v>
      </c>
      <c r="L63" s="230" t="s">
        <v>3166</v>
      </c>
      <c r="M63" s="18"/>
      <c r="N63" s="244" t="s">
        <v>3167</v>
      </c>
      <c r="O63" s="60">
        <v>550590</v>
      </c>
    </row>
    <row r="64" spans="1:16" s="1" customFormat="1">
      <c r="A64" s="60"/>
      <c r="B64" s="60" t="s">
        <v>3168</v>
      </c>
      <c r="C64" s="60"/>
      <c r="D64" s="60" t="s">
        <v>3169</v>
      </c>
      <c r="E64" s="60"/>
      <c r="F64" s="60"/>
      <c r="G64" s="60" t="s">
        <v>3170</v>
      </c>
      <c r="H64" s="60" t="s">
        <v>3171</v>
      </c>
      <c r="I64" s="60"/>
      <c r="J64" s="60" t="s">
        <v>2859</v>
      </c>
      <c r="K64" s="60" t="s">
        <v>2887</v>
      </c>
      <c r="L64" s="230" t="s">
        <v>3172</v>
      </c>
      <c r="M64" s="18"/>
      <c r="N64" s="244" t="s">
        <v>3173</v>
      </c>
      <c r="O64" s="60">
        <v>549033</v>
      </c>
    </row>
    <row r="65" spans="1:18" s="1" customFormat="1">
      <c r="A65" s="60"/>
      <c r="B65" s="60" t="s">
        <v>3174</v>
      </c>
      <c r="C65" s="60"/>
      <c r="D65" s="60" t="s">
        <v>3175</v>
      </c>
      <c r="E65" s="60"/>
      <c r="F65" s="60"/>
      <c r="G65" s="60"/>
      <c r="H65" s="60" t="s">
        <v>3082</v>
      </c>
      <c r="I65" s="60"/>
      <c r="J65" s="60" t="s">
        <v>3176</v>
      </c>
      <c r="K65" s="60" t="s">
        <v>2938</v>
      </c>
      <c r="L65" s="230" t="s">
        <v>3177</v>
      </c>
      <c r="M65" s="231"/>
      <c r="N65" t="s">
        <v>3178</v>
      </c>
      <c r="O65" s="60">
        <v>334829</v>
      </c>
    </row>
    <row r="66" spans="1:18" s="1" customFormat="1">
      <c r="A66" s="60"/>
      <c r="B66" s="60" t="s">
        <v>3179</v>
      </c>
      <c r="C66" s="60" t="s">
        <v>3180</v>
      </c>
      <c r="D66" s="60" t="s">
        <v>3175</v>
      </c>
      <c r="E66" s="60"/>
      <c r="F66" s="60"/>
      <c r="G66" s="60" t="s">
        <v>3181</v>
      </c>
      <c r="H66" s="60" t="s">
        <v>3182</v>
      </c>
      <c r="I66" s="60"/>
      <c r="J66" s="60" t="s">
        <v>3183</v>
      </c>
      <c r="K66" s="60" t="s">
        <v>2752</v>
      </c>
      <c r="L66" s="60" t="s">
        <v>3184</v>
      </c>
      <c r="M66" s="60"/>
      <c r="N66" t="s">
        <v>3185</v>
      </c>
      <c r="O66" s="60">
        <v>79481</v>
      </c>
    </row>
    <row r="67" spans="1:18" s="1" customFormat="1">
      <c r="A67" s="60"/>
      <c r="B67" s="60" t="s">
        <v>3186</v>
      </c>
      <c r="C67" s="60" t="s">
        <v>3187</v>
      </c>
      <c r="D67" s="60" t="s">
        <v>3188</v>
      </c>
      <c r="E67" s="60"/>
      <c r="F67" s="60"/>
      <c r="G67" s="60" t="s">
        <v>3189</v>
      </c>
      <c r="H67" s="60" t="s">
        <v>3190</v>
      </c>
      <c r="I67" s="60"/>
      <c r="J67" s="60" t="s">
        <v>3191</v>
      </c>
      <c r="K67" s="60" t="s">
        <v>2752</v>
      </c>
      <c r="L67" s="60" t="s">
        <v>3192</v>
      </c>
      <c r="M67" s="60"/>
      <c r="N67" t="s">
        <v>3193</v>
      </c>
      <c r="O67" s="60">
        <v>495541</v>
      </c>
      <c r="R67" s="63"/>
    </row>
    <row r="68" spans="1:18" s="1" customFormat="1">
      <c r="A68" s="60"/>
      <c r="B68" s="60" t="s">
        <v>3194</v>
      </c>
      <c r="C68" s="60" t="s">
        <v>2747</v>
      </c>
      <c r="D68" s="60" t="s">
        <v>3195</v>
      </c>
      <c r="E68" s="60"/>
      <c r="F68" s="60"/>
      <c r="G68" s="60" t="s">
        <v>3196</v>
      </c>
      <c r="H68" s="60" t="s">
        <v>2878</v>
      </c>
      <c r="I68" s="60"/>
      <c r="J68" s="60" t="s">
        <v>3197</v>
      </c>
      <c r="K68" s="60" t="s">
        <v>2821</v>
      </c>
      <c r="L68" s="1" t="s">
        <v>3198</v>
      </c>
      <c r="M68" s="60"/>
      <c r="N68" t="s">
        <v>3199</v>
      </c>
      <c r="O68" s="60">
        <v>490212</v>
      </c>
    </row>
    <row r="69" spans="1:18" s="1" customFormat="1">
      <c r="A69" s="60"/>
      <c r="B69" s="60" t="s">
        <v>3200</v>
      </c>
      <c r="C69" s="60" t="s">
        <v>2891</v>
      </c>
      <c r="D69" s="60" t="s">
        <v>3201</v>
      </c>
      <c r="E69" s="60"/>
      <c r="F69" s="60"/>
      <c r="G69" s="60" t="s">
        <v>3202</v>
      </c>
      <c r="H69" s="60" t="s">
        <v>3203</v>
      </c>
      <c r="I69" s="60"/>
      <c r="J69" s="60" t="s">
        <v>3204</v>
      </c>
      <c r="K69" s="60" t="s">
        <v>2938</v>
      </c>
      <c r="L69" s="60" t="s">
        <v>3205</v>
      </c>
      <c r="M69" s="60" t="s">
        <v>3206</v>
      </c>
      <c r="N69" s="245" t="s">
        <v>3207</v>
      </c>
      <c r="O69" s="60">
        <v>535047</v>
      </c>
    </row>
    <row r="70" spans="1:18" s="1" customFormat="1">
      <c r="A70" s="60"/>
      <c r="B70" s="60" t="s">
        <v>3208</v>
      </c>
      <c r="C70" s="60" t="s">
        <v>2996</v>
      </c>
      <c r="D70" s="60" t="s">
        <v>3209</v>
      </c>
      <c r="E70" s="60"/>
      <c r="F70" s="60"/>
      <c r="G70" s="60" t="s">
        <v>3210</v>
      </c>
      <c r="H70" s="60" t="s">
        <v>3211</v>
      </c>
      <c r="I70" s="60"/>
      <c r="J70" s="60" t="s">
        <v>3212</v>
      </c>
      <c r="K70" s="60" t="s">
        <v>2752</v>
      </c>
      <c r="L70" s="60" t="s">
        <v>3213</v>
      </c>
      <c r="M70" s="18"/>
      <c r="N70" t="s">
        <v>3214</v>
      </c>
      <c r="O70" s="60">
        <v>536974</v>
      </c>
    </row>
    <row r="71" spans="1:18" s="1" customFormat="1">
      <c r="A71" s="60"/>
      <c r="B71" s="60" t="s">
        <v>3215</v>
      </c>
      <c r="C71" s="60" t="s">
        <v>3076</v>
      </c>
      <c r="D71" s="60" t="s">
        <v>3216</v>
      </c>
      <c r="E71" s="60"/>
      <c r="F71" s="60"/>
      <c r="G71" s="60" t="s">
        <v>3217</v>
      </c>
      <c r="H71" s="60" t="s">
        <v>3218</v>
      </c>
      <c r="I71" s="60"/>
      <c r="J71" s="60" t="s">
        <v>3219</v>
      </c>
      <c r="K71" s="60" t="s">
        <v>2752</v>
      </c>
      <c r="L71" s="60" t="s">
        <v>3220</v>
      </c>
      <c r="M71" s="18"/>
      <c r="N71" t="s">
        <v>3221</v>
      </c>
      <c r="O71" s="60">
        <v>532351</v>
      </c>
    </row>
    <row r="72" spans="1:18" s="1" customFormat="1">
      <c r="A72" s="60"/>
      <c r="B72" s="60" t="s">
        <v>3222</v>
      </c>
      <c r="C72" s="60" t="s">
        <v>2756</v>
      </c>
      <c r="D72" s="60" t="s">
        <v>3223</v>
      </c>
      <c r="E72" s="60"/>
      <c r="F72" s="60"/>
      <c r="G72" s="60" t="s">
        <v>3224</v>
      </c>
      <c r="H72" s="60" t="s">
        <v>3225</v>
      </c>
      <c r="I72" s="60"/>
      <c r="J72" s="60" t="s">
        <v>3226</v>
      </c>
      <c r="K72" s="60" t="s">
        <v>2752</v>
      </c>
      <c r="L72" s="60" t="s">
        <v>3227</v>
      </c>
      <c r="M72" s="18"/>
      <c r="N72" t="s">
        <v>3228</v>
      </c>
      <c r="O72" s="60">
        <v>486403</v>
      </c>
    </row>
    <row r="73" spans="1:18" s="1" customFormat="1">
      <c r="A73" s="60"/>
      <c r="B73" s="60" t="s">
        <v>3229</v>
      </c>
      <c r="C73" s="60"/>
      <c r="D73" s="60" t="s">
        <v>3230</v>
      </c>
      <c r="E73" s="60"/>
      <c r="F73" s="60"/>
      <c r="G73" s="60" t="s">
        <v>3231</v>
      </c>
      <c r="H73" s="60" t="s">
        <v>3232</v>
      </c>
      <c r="I73" s="60"/>
      <c r="J73" s="60" t="s">
        <v>3233</v>
      </c>
      <c r="K73" s="60" t="s">
        <v>2938</v>
      </c>
      <c r="L73" s="1" t="s">
        <v>3234</v>
      </c>
      <c r="M73"/>
      <c r="N73" t="s">
        <v>3235</v>
      </c>
      <c r="O73" s="60">
        <v>515467</v>
      </c>
    </row>
    <row r="74" spans="1:18" s="1" customFormat="1">
      <c r="A74" s="60"/>
      <c r="B74" s="60" t="s">
        <v>3236</v>
      </c>
      <c r="C74" s="60" t="s">
        <v>2855</v>
      </c>
      <c r="D74" s="60" t="s">
        <v>3237</v>
      </c>
      <c r="E74" s="60"/>
      <c r="F74" s="60"/>
      <c r="G74" s="60" t="s">
        <v>3238</v>
      </c>
      <c r="H74" s="60" t="s">
        <v>3239</v>
      </c>
      <c r="I74" s="60"/>
      <c r="J74" s="60" t="s">
        <v>3240</v>
      </c>
      <c r="K74" s="60" t="s">
        <v>2752</v>
      </c>
      <c r="L74" s="60" t="s">
        <v>3241</v>
      </c>
      <c r="M74" s="18"/>
      <c r="N74" t="s">
        <v>3242</v>
      </c>
      <c r="O74" s="60">
        <v>79571</v>
      </c>
    </row>
    <row r="75" spans="1:18" s="1" customFormat="1">
      <c r="A75" s="60"/>
      <c r="B75" s="60" t="s">
        <v>3243</v>
      </c>
      <c r="C75" s="60" t="s">
        <v>2996</v>
      </c>
      <c r="D75" s="60" t="s">
        <v>3244</v>
      </c>
      <c r="E75" s="60"/>
      <c r="F75" s="60"/>
      <c r="G75" s="60" t="s">
        <v>3245</v>
      </c>
      <c r="H75" s="60" t="s">
        <v>3246</v>
      </c>
      <c r="I75" s="60"/>
      <c r="J75" s="60" t="s">
        <v>3247</v>
      </c>
      <c r="K75" s="60" t="s">
        <v>2752</v>
      </c>
      <c r="L75" s="60" t="s">
        <v>3248</v>
      </c>
      <c r="M75" s="60"/>
      <c r="N75" s="60" t="s">
        <v>3249</v>
      </c>
      <c r="O75" s="60">
        <v>540954</v>
      </c>
    </row>
    <row r="76" spans="1:18" s="1" customFormat="1">
      <c r="A76" s="60"/>
      <c r="B76" s="60" t="s">
        <v>3250</v>
      </c>
      <c r="C76" s="60" t="s">
        <v>3251</v>
      </c>
      <c r="D76" s="60" t="s">
        <v>3252</v>
      </c>
      <c r="E76" s="60"/>
      <c r="F76" s="60"/>
      <c r="G76" s="60" t="s">
        <v>3253</v>
      </c>
      <c r="H76" s="60" t="s">
        <v>3254</v>
      </c>
      <c r="I76" s="60"/>
      <c r="J76" s="60" t="s">
        <v>3255</v>
      </c>
      <c r="K76" s="60" t="s">
        <v>2752</v>
      </c>
      <c r="L76" s="60" t="s">
        <v>3256</v>
      </c>
      <c r="M76" s="60"/>
      <c r="N76" s="245" t="s">
        <v>3257</v>
      </c>
      <c r="O76" s="60">
        <v>529998</v>
      </c>
    </row>
    <row r="77" spans="1:18" s="1" customFormat="1">
      <c r="A77" s="60"/>
      <c r="B77" s="60" t="s">
        <v>3258</v>
      </c>
      <c r="C77" s="60" t="s">
        <v>3187</v>
      </c>
      <c r="D77" s="60" t="s">
        <v>3259</v>
      </c>
      <c r="E77" s="60"/>
      <c r="F77" s="60"/>
      <c r="G77" s="60" t="s">
        <v>3260</v>
      </c>
      <c r="H77" s="60" t="s">
        <v>2758</v>
      </c>
      <c r="I77" s="60"/>
      <c r="J77" s="60" t="s">
        <v>3183</v>
      </c>
      <c r="K77" s="60" t="s">
        <v>2752</v>
      </c>
      <c r="L77" s="60" t="s">
        <v>3261</v>
      </c>
      <c r="M77" s="18"/>
      <c r="N77" t="s">
        <v>3262</v>
      </c>
      <c r="O77" s="60">
        <v>330738</v>
      </c>
    </row>
    <row r="78" spans="1:18" s="1" customFormat="1">
      <c r="A78" s="60"/>
      <c r="B78" s="60" t="s">
        <v>3028</v>
      </c>
      <c r="C78" s="60"/>
      <c r="D78" s="60" t="s">
        <v>3263</v>
      </c>
      <c r="E78" s="60"/>
      <c r="F78" s="60"/>
      <c r="G78" s="60" t="s">
        <v>3264</v>
      </c>
      <c r="H78" s="60" t="s">
        <v>3265</v>
      </c>
      <c r="I78" s="60"/>
      <c r="J78" s="60" t="s">
        <v>3266</v>
      </c>
      <c r="K78" s="60" t="s">
        <v>2821</v>
      </c>
      <c r="L78" s="1" t="s">
        <v>3267</v>
      </c>
      <c r="M78"/>
      <c r="N78" t="s">
        <v>3268</v>
      </c>
      <c r="O78" s="60">
        <v>543035</v>
      </c>
    </row>
    <row r="79" spans="1:18" s="1" customFormat="1">
      <c r="A79" s="60"/>
      <c r="B79" s="60" t="s">
        <v>3269</v>
      </c>
      <c r="C79" s="60"/>
      <c r="D79" s="60" t="s">
        <v>3270</v>
      </c>
      <c r="E79" s="60"/>
      <c r="F79" s="60"/>
      <c r="G79" s="60" t="s">
        <v>3271</v>
      </c>
      <c r="H79" s="60" t="s">
        <v>2885</v>
      </c>
      <c r="I79" s="60"/>
      <c r="J79" s="60" t="s">
        <v>3272</v>
      </c>
      <c r="K79" s="60" t="s">
        <v>2938</v>
      </c>
      <c r="L79" s="1" t="s">
        <v>3273</v>
      </c>
      <c r="M79"/>
      <c r="N79" t="s">
        <v>3274</v>
      </c>
      <c r="O79" s="60">
        <v>543372</v>
      </c>
    </row>
    <row r="80" spans="1:18" s="1" customFormat="1">
      <c r="A80" s="60"/>
      <c r="B80" s="60" t="s">
        <v>3275</v>
      </c>
      <c r="C80" s="60" t="s">
        <v>2996</v>
      </c>
      <c r="D80" s="60" t="s">
        <v>3276</v>
      </c>
      <c r="E80" s="60"/>
      <c r="F80" s="60"/>
      <c r="G80" s="60" t="s">
        <v>3277</v>
      </c>
      <c r="H80" s="60" t="s">
        <v>3031</v>
      </c>
      <c r="I80" s="60"/>
      <c r="J80" s="60" t="s">
        <v>3032</v>
      </c>
      <c r="K80" s="60" t="s">
        <v>2752</v>
      </c>
      <c r="L80" s="60" t="s">
        <v>3278</v>
      </c>
      <c r="M80" s="60" t="s">
        <v>3206</v>
      </c>
      <c r="N80" s="60" t="s">
        <v>3279</v>
      </c>
      <c r="O80" s="60">
        <v>529231</v>
      </c>
    </row>
    <row r="81" spans="1:15" s="1" customFormat="1">
      <c r="A81" s="60"/>
      <c r="B81" s="60" t="s">
        <v>3280</v>
      </c>
      <c r="C81" s="60" t="s">
        <v>2780</v>
      </c>
      <c r="D81" s="60" t="s">
        <v>3281</v>
      </c>
      <c r="E81" s="60"/>
      <c r="F81" s="60"/>
      <c r="G81" s="60" t="s">
        <v>2877</v>
      </c>
      <c r="H81" s="60" t="s">
        <v>2878</v>
      </c>
      <c r="I81" s="60"/>
      <c r="J81" s="60" t="s">
        <v>3282</v>
      </c>
      <c r="K81" s="60" t="s">
        <v>2752</v>
      </c>
      <c r="L81" s="60" t="s">
        <v>3283</v>
      </c>
      <c r="M81" s="60"/>
      <c r="N81" t="s">
        <v>3284</v>
      </c>
      <c r="O81" s="60">
        <v>217817</v>
      </c>
    </row>
    <row r="82" spans="1:15" s="1" customFormat="1">
      <c r="A82" s="60"/>
      <c r="B82" s="60" t="s">
        <v>3285</v>
      </c>
      <c r="C82" s="60" t="s">
        <v>2996</v>
      </c>
      <c r="D82" s="60" t="s">
        <v>3281</v>
      </c>
      <c r="E82" s="60"/>
      <c r="F82" s="60"/>
      <c r="G82" s="60" t="s">
        <v>3286</v>
      </c>
      <c r="H82" s="60" t="s">
        <v>3287</v>
      </c>
      <c r="I82" s="60"/>
      <c r="J82" s="60" t="s">
        <v>3183</v>
      </c>
      <c r="K82" s="60" t="s">
        <v>2752</v>
      </c>
      <c r="L82" s="60" t="s">
        <v>3288</v>
      </c>
      <c r="M82" s="60"/>
      <c r="N82" t="s">
        <v>3289</v>
      </c>
      <c r="O82" s="60">
        <v>168542</v>
      </c>
    </row>
    <row r="83" spans="1:15" s="1" customFormat="1">
      <c r="A83" s="60"/>
      <c r="B83" s="60" t="s">
        <v>3290</v>
      </c>
      <c r="C83" s="60" t="s">
        <v>3097</v>
      </c>
      <c r="D83" s="60" t="s">
        <v>3291</v>
      </c>
      <c r="E83" s="60"/>
      <c r="F83" s="60"/>
      <c r="G83" s="60" t="s">
        <v>2877</v>
      </c>
      <c r="H83" s="60" t="s">
        <v>2878</v>
      </c>
      <c r="I83" s="60"/>
      <c r="J83" s="60" t="s">
        <v>2829</v>
      </c>
      <c r="K83" s="60" t="s">
        <v>2752</v>
      </c>
      <c r="L83" s="1" t="s">
        <v>3292</v>
      </c>
      <c r="M83" s="60" t="s">
        <v>3206</v>
      </c>
      <c r="N83" s="60" t="s">
        <v>2987</v>
      </c>
      <c r="O83" s="60">
        <v>79563</v>
      </c>
    </row>
    <row r="84" spans="1:15" s="1" customFormat="1">
      <c r="A84" s="60"/>
      <c r="B84" s="60" t="s">
        <v>3293</v>
      </c>
      <c r="C84" s="60" t="s">
        <v>2855</v>
      </c>
      <c r="D84" s="60" t="s">
        <v>3291</v>
      </c>
      <c r="E84" s="60"/>
      <c r="F84" s="60"/>
      <c r="G84" s="60" t="s">
        <v>3294</v>
      </c>
      <c r="H84" s="60" t="s">
        <v>3295</v>
      </c>
      <c r="I84" s="60"/>
      <c r="J84" s="60" t="s">
        <v>3296</v>
      </c>
      <c r="K84" s="60" t="s">
        <v>2752</v>
      </c>
      <c r="L84" s="1" t="s">
        <v>3297</v>
      </c>
      <c r="M84" s="60" t="s">
        <v>3206</v>
      </c>
      <c r="N84" s="245" t="s">
        <v>2987</v>
      </c>
      <c r="O84" s="60">
        <v>268867</v>
      </c>
    </row>
    <row r="85" spans="1:15" s="1" customFormat="1">
      <c r="A85" s="60"/>
      <c r="B85" s="60" t="s">
        <v>3298</v>
      </c>
      <c r="C85" s="60"/>
      <c r="D85" s="60" t="s">
        <v>3299</v>
      </c>
      <c r="E85" s="60"/>
      <c r="F85" s="60"/>
      <c r="G85" s="60"/>
      <c r="H85" s="60" t="s">
        <v>3300</v>
      </c>
      <c r="I85" s="60"/>
      <c r="J85" s="60"/>
      <c r="K85" s="60"/>
      <c r="L85" s="1" t="s">
        <v>3301</v>
      </c>
      <c r="M85"/>
      <c r="N85" t="s">
        <v>3302</v>
      </c>
      <c r="O85" s="60">
        <v>263093</v>
      </c>
    </row>
    <row r="86" spans="1:15" s="1" customFormat="1">
      <c r="A86" s="60"/>
      <c r="B86" s="60" t="s">
        <v>3303</v>
      </c>
      <c r="C86" s="60" t="s">
        <v>3097</v>
      </c>
      <c r="D86" s="60" t="s">
        <v>3304</v>
      </c>
      <c r="E86" s="60"/>
      <c r="F86" s="60"/>
      <c r="G86" s="60" t="s">
        <v>3305</v>
      </c>
      <c r="H86" s="60" t="s">
        <v>3306</v>
      </c>
      <c r="I86" s="60"/>
      <c r="J86" s="60" t="s">
        <v>3307</v>
      </c>
      <c r="K86" s="60" t="s">
        <v>2752</v>
      </c>
      <c r="L86" s="60" t="s">
        <v>3308</v>
      </c>
      <c r="M86" s="60" t="s">
        <v>3206</v>
      </c>
      <c r="N86" s="60" t="s">
        <v>2987</v>
      </c>
      <c r="O86" s="60">
        <v>475847</v>
      </c>
    </row>
    <row r="87" spans="1:15" s="1" customFormat="1">
      <c r="A87" s="60"/>
      <c r="B87" s="60" t="s">
        <v>3309</v>
      </c>
      <c r="C87" s="60"/>
      <c r="D87" s="60" t="s">
        <v>3310</v>
      </c>
      <c r="E87" s="60"/>
      <c r="F87" s="60"/>
      <c r="G87" s="60" t="s">
        <v>3311</v>
      </c>
      <c r="H87" s="60" t="s">
        <v>3312</v>
      </c>
      <c r="I87" s="60"/>
      <c r="J87" s="60" t="s">
        <v>2872</v>
      </c>
      <c r="K87" s="60" t="s">
        <v>2821</v>
      </c>
      <c r="L87" s="1" t="s">
        <v>3313</v>
      </c>
      <c r="M87"/>
      <c r="N87" t="s">
        <v>3314</v>
      </c>
      <c r="O87" s="60">
        <v>545089</v>
      </c>
    </row>
    <row r="88" spans="1:15" s="1" customFormat="1">
      <c r="A88" s="60"/>
      <c r="B88" s="60" t="s">
        <v>3315</v>
      </c>
      <c r="C88" s="60" t="s">
        <v>3316</v>
      </c>
      <c r="D88" s="60" t="s">
        <v>3317</v>
      </c>
      <c r="E88" s="60"/>
      <c r="F88" s="60"/>
      <c r="G88" s="60" t="s">
        <v>3318</v>
      </c>
      <c r="H88" s="60" t="s">
        <v>3319</v>
      </c>
      <c r="I88" s="60"/>
      <c r="J88" s="60" t="s">
        <v>3146</v>
      </c>
      <c r="K88" s="60" t="s">
        <v>2752</v>
      </c>
      <c r="L88" s="60" t="s">
        <v>3320</v>
      </c>
      <c r="M88" s="18"/>
      <c r="N88" t="s">
        <v>3321</v>
      </c>
      <c r="O88" s="60">
        <v>475941</v>
      </c>
    </row>
    <row r="89" spans="1:15" s="1" customFormat="1">
      <c r="A89" s="60"/>
      <c r="B89" s="60" t="s">
        <v>3322</v>
      </c>
      <c r="C89" s="60" t="s">
        <v>3049</v>
      </c>
      <c r="D89" s="60" t="s">
        <v>3317</v>
      </c>
      <c r="E89" s="60"/>
      <c r="F89" s="60"/>
      <c r="G89" s="60" t="s">
        <v>3323</v>
      </c>
      <c r="H89" s="60" t="s">
        <v>3324</v>
      </c>
      <c r="I89" s="60"/>
      <c r="J89" s="60" t="s">
        <v>3072</v>
      </c>
      <c r="K89" s="60" t="s">
        <v>2752</v>
      </c>
      <c r="L89" s="60" t="s">
        <v>3325</v>
      </c>
      <c r="M89" s="18"/>
      <c r="N89" t="s">
        <v>3326</v>
      </c>
      <c r="O89" s="60">
        <v>474640</v>
      </c>
    </row>
    <row r="90" spans="1:15" s="1" customFormat="1">
      <c r="A90" s="60"/>
      <c r="B90" s="60" t="s">
        <v>2800</v>
      </c>
      <c r="C90" s="60" t="s">
        <v>3076</v>
      </c>
      <c r="D90" s="60" t="s">
        <v>3327</v>
      </c>
      <c r="E90" s="60"/>
      <c r="F90" s="60"/>
      <c r="G90" s="60" t="s">
        <v>3328</v>
      </c>
      <c r="H90" s="60" t="s">
        <v>3329</v>
      </c>
      <c r="I90" s="60"/>
      <c r="J90" s="60" t="s">
        <v>3330</v>
      </c>
      <c r="K90" s="60" t="s">
        <v>2752</v>
      </c>
      <c r="L90" s="1" t="s">
        <v>3331</v>
      </c>
      <c r="M90"/>
      <c r="N90" t="s">
        <v>3332</v>
      </c>
      <c r="O90" s="60">
        <v>467178</v>
      </c>
    </row>
    <row r="91" spans="1:15" s="1" customFormat="1">
      <c r="A91" s="60"/>
      <c r="B91" s="60" t="s">
        <v>3333</v>
      </c>
      <c r="C91" s="60" t="s">
        <v>2891</v>
      </c>
      <c r="D91" s="60" t="s">
        <v>3334</v>
      </c>
      <c r="E91" s="60"/>
      <c r="F91" s="60"/>
      <c r="G91" s="60" t="s">
        <v>3335</v>
      </c>
      <c r="H91" s="60" t="s">
        <v>3336</v>
      </c>
      <c r="I91" s="60"/>
      <c r="J91" s="60" t="s">
        <v>3337</v>
      </c>
      <c r="K91" s="60" t="s">
        <v>2752</v>
      </c>
      <c r="L91" s="60" t="s">
        <v>3338</v>
      </c>
      <c r="M91" s="18"/>
      <c r="N91" t="s">
        <v>3339</v>
      </c>
      <c r="O91" s="60">
        <v>514545</v>
      </c>
    </row>
    <row r="92" spans="1:15" s="1" customFormat="1">
      <c r="A92" s="60"/>
      <c r="B92" s="60" t="s">
        <v>3340</v>
      </c>
      <c r="C92" s="60" t="s">
        <v>2788</v>
      </c>
      <c r="D92" s="60" t="s">
        <v>3341</v>
      </c>
      <c r="E92" s="60"/>
      <c r="F92" s="60"/>
      <c r="G92" s="60" t="s">
        <v>3342</v>
      </c>
      <c r="H92" s="60" t="s">
        <v>3343</v>
      </c>
      <c r="I92" s="60"/>
      <c r="J92" s="60" t="s">
        <v>3344</v>
      </c>
      <c r="K92" s="60" t="s">
        <v>2752</v>
      </c>
      <c r="L92" s="60" t="s">
        <v>3345</v>
      </c>
      <c r="M92" s="60"/>
      <c r="N92" s="60" t="s">
        <v>2987</v>
      </c>
      <c r="O92" s="60">
        <v>82271</v>
      </c>
    </row>
    <row r="93" spans="1:15" s="1" customFormat="1">
      <c r="A93" s="60"/>
      <c r="B93" s="60" t="s">
        <v>3346</v>
      </c>
      <c r="C93" s="60" t="s">
        <v>3347</v>
      </c>
      <c r="D93" s="60" t="s">
        <v>3348</v>
      </c>
      <c r="E93" s="60"/>
      <c r="F93" s="60"/>
      <c r="G93" s="60" t="s">
        <v>3349</v>
      </c>
      <c r="H93" s="60" t="s">
        <v>2858</v>
      </c>
      <c r="I93" s="60"/>
      <c r="J93" s="60" t="s">
        <v>2859</v>
      </c>
      <c r="K93" s="60" t="s">
        <v>2752</v>
      </c>
      <c r="L93" s="60" t="s">
        <v>3350</v>
      </c>
      <c r="M93" s="60" t="s">
        <v>3206</v>
      </c>
      <c r="N93" s="246" t="s">
        <v>2987</v>
      </c>
      <c r="O93" s="60">
        <v>526030</v>
      </c>
    </row>
    <row r="94" spans="1:15" s="1" customFormat="1">
      <c r="A94" s="60"/>
      <c r="B94" s="60" t="s">
        <v>3351</v>
      </c>
      <c r="C94" s="60" t="s">
        <v>2810</v>
      </c>
      <c r="D94" s="60" t="s">
        <v>3352</v>
      </c>
      <c r="E94" s="60"/>
      <c r="F94" s="60"/>
      <c r="G94" s="60" t="s">
        <v>3353</v>
      </c>
      <c r="H94" s="60" t="s">
        <v>3354</v>
      </c>
      <c r="I94" s="60"/>
      <c r="J94" s="60" t="s">
        <v>3355</v>
      </c>
      <c r="K94" s="60" t="s">
        <v>2752</v>
      </c>
      <c r="L94" s="60" t="s">
        <v>3356</v>
      </c>
      <c r="M94" s="60"/>
      <c r="N94" t="s">
        <v>3357</v>
      </c>
      <c r="O94" s="60">
        <v>521069</v>
      </c>
    </row>
    <row r="95" spans="1:15" s="1" customFormat="1">
      <c r="A95" s="60"/>
      <c r="B95" s="60" t="s">
        <v>3358</v>
      </c>
      <c r="C95" s="60" t="s">
        <v>3049</v>
      </c>
      <c r="D95" s="60" t="s">
        <v>3359</v>
      </c>
      <c r="E95" s="60"/>
      <c r="F95" s="60"/>
      <c r="G95" s="60" t="s">
        <v>3360</v>
      </c>
      <c r="H95" s="60" t="s">
        <v>3361</v>
      </c>
      <c r="I95" s="60"/>
      <c r="J95" s="60" t="s">
        <v>3362</v>
      </c>
      <c r="K95" s="60" t="s">
        <v>2752</v>
      </c>
      <c r="L95" s="60" t="s">
        <v>3363</v>
      </c>
      <c r="M95" s="60" t="s">
        <v>2769</v>
      </c>
      <c r="N95" s="60" t="s">
        <v>2987</v>
      </c>
      <c r="O95" s="60">
        <v>79501</v>
      </c>
    </row>
    <row r="96" spans="1:15" s="1" customFormat="1">
      <c r="A96" s="60"/>
      <c r="B96" s="60" t="s">
        <v>3364</v>
      </c>
      <c r="C96" s="60" t="s">
        <v>3347</v>
      </c>
      <c r="D96" s="60" t="s">
        <v>3365</v>
      </c>
      <c r="E96" s="60"/>
      <c r="F96" s="60"/>
      <c r="G96" s="60" t="s">
        <v>3366</v>
      </c>
      <c r="H96" s="60" t="s">
        <v>2901</v>
      </c>
      <c r="I96" s="60"/>
      <c r="J96" s="60" t="s">
        <v>3367</v>
      </c>
      <c r="K96" s="60" t="s">
        <v>2821</v>
      </c>
      <c r="L96" s="60" t="s">
        <v>3368</v>
      </c>
      <c r="M96" s="18"/>
      <c r="N96" t="s">
        <v>3369</v>
      </c>
      <c r="O96" s="60">
        <v>491837</v>
      </c>
    </row>
    <row r="97" spans="1:15" s="1" customFormat="1">
      <c r="A97" s="60"/>
      <c r="B97" s="60" t="s">
        <v>3370</v>
      </c>
      <c r="C97" s="60"/>
      <c r="D97" s="60" t="s">
        <v>3371</v>
      </c>
      <c r="E97" s="60"/>
      <c r="F97" s="60"/>
      <c r="G97" s="60" t="s">
        <v>3372</v>
      </c>
      <c r="H97" s="60" t="s">
        <v>3373</v>
      </c>
      <c r="I97" s="60"/>
      <c r="J97" s="60" t="s">
        <v>3072</v>
      </c>
      <c r="K97" s="60" t="s">
        <v>2887</v>
      </c>
      <c r="L97" s="251" t="s">
        <v>3374</v>
      </c>
      <c r="M97" s="18"/>
      <c r="N97" t="s">
        <v>3375</v>
      </c>
      <c r="O97" s="60">
        <v>548806</v>
      </c>
    </row>
    <row r="98" spans="1:15" s="1" customFormat="1">
      <c r="A98" s="60"/>
      <c r="B98" s="60" t="s">
        <v>3364</v>
      </c>
      <c r="C98" s="60" t="s">
        <v>3049</v>
      </c>
      <c r="D98" s="60" t="s">
        <v>3376</v>
      </c>
      <c r="E98" s="60"/>
      <c r="F98" s="60"/>
      <c r="G98" s="60"/>
      <c r="H98" s="60" t="s">
        <v>3377</v>
      </c>
      <c r="I98" s="60"/>
      <c r="J98" s="60"/>
      <c r="K98" s="60"/>
      <c r="L98" s="60" t="s">
        <v>3378</v>
      </c>
      <c r="M98" s="60" t="s">
        <v>3047</v>
      </c>
      <c r="N98" s="60" t="s">
        <v>2987</v>
      </c>
      <c r="O98" s="60">
        <v>506781</v>
      </c>
    </row>
    <row r="99" spans="1:15" s="1" customFormat="1">
      <c r="A99" s="60"/>
      <c r="B99" s="60" t="s">
        <v>3379</v>
      </c>
      <c r="C99" s="60" t="s">
        <v>3187</v>
      </c>
      <c r="D99" s="60" t="s">
        <v>3376</v>
      </c>
      <c r="E99" s="60"/>
      <c r="F99" s="60"/>
      <c r="G99" s="60" t="s">
        <v>3380</v>
      </c>
      <c r="H99" s="60" t="s">
        <v>3381</v>
      </c>
      <c r="I99" s="60"/>
      <c r="J99" s="60" t="s">
        <v>3382</v>
      </c>
      <c r="K99" s="60" t="s">
        <v>2752</v>
      </c>
      <c r="L99" s="60" t="s">
        <v>3383</v>
      </c>
      <c r="M99" s="60" t="s">
        <v>3384</v>
      </c>
      <c r="N99" s="245" t="s">
        <v>2987</v>
      </c>
      <c r="O99" s="60">
        <v>502402</v>
      </c>
    </row>
    <row r="100" spans="1:15" s="1" customFormat="1">
      <c r="A100" s="60"/>
      <c r="B100" s="60" t="s">
        <v>3102</v>
      </c>
      <c r="C100" s="60" t="s">
        <v>2763</v>
      </c>
      <c r="D100" s="60" t="s">
        <v>3385</v>
      </c>
      <c r="E100" s="60"/>
      <c r="F100" s="60"/>
      <c r="G100" s="60" t="s">
        <v>3386</v>
      </c>
      <c r="H100" s="60" t="s">
        <v>3387</v>
      </c>
      <c r="I100" s="60"/>
      <c r="J100" s="60" t="s">
        <v>3388</v>
      </c>
      <c r="K100" s="60" t="s">
        <v>2752</v>
      </c>
      <c r="L100" s="60" t="s">
        <v>3389</v>
      </c>
      <c r="M100" s="60" t="s">
        <v>3206</v>
      </c>
      <c r="N100" s="245" t="s">
        <v>3390</v>
      </c>
      <c r="O100" s="60">
        <v>213197</v>
      </c>
    </row>
    <row r="101" spans="1:15" s="1" customFormat="1">
      <c r="A101" s="60"/>
      <c r="B101" s="60" t="s">
        <v>3391</v>
      </c>
      <c r="C101" s="60" t="s">
        <v>3187</v>
      </c>
      <c r="D101" s="60" t="s">
        <v>3392</v>
      </c>
      <c r="E101" s="60"/>
      <c r="F101" s="60"/>
      <c r="G101" s="60" t="s">
        <v>3393</v>
      </c>
      <c r="H101" s="60" t="s">
        <v>3394</v>
      </c>
      <c r="I101" s="60"/>
      <c r="J101" s="60" t="s">
        <v>3395</v>
      </c>
      <c r="K101" s="60" t="s">
        <v>2752</v>
      </c>
      <c r="L101" s="60" t="s">
        <v>3396</v>
      </c>
      <c r="M101" s="60" t="s">
        <v>3206</v>
      </c>
      <c r="N101" s="245" t="s">
        <v>3397</v>
      </c>
      <c r="O101" s="60">
        <v>260870</v>
      </c>
    </row>
    <row r="102" spans="1:15" s="1" customFormat="1">
      <c r="A102" s="60"/>
      <c r="B102" s="60" t="s">
        <v>3398</v>
      </c>
      <c r="C102" s="60"/>
      <c r="D102" s="60" t="s">
        <v>3399</v>
      </c>
      <c r="E102" s="60"/>
      <c r="F102" s="60"/>
      <c r="G102" s="60" t="s">
        <v>3400</v>
      </c>
      <c r="H102" s="60" t="s">
        <v>3401</v>
      </c>
      <c r="I102" s="60"/>
      <c r="J102" s="60" t="s">
        <v>3402</v>
      </c>
      <c r="K102" s="60" t="s">
        <v>2752</v>
      </c>
      <c r="L102" s="230" t="s">
        <v>3403</v>
      </c>
      <c r="M102" s="231"/>
      <c r="N102" t="s">
        <v>3404</v>
      </c>
      <c r="O102" s="60">
        <v>211826</v>
      </c>
    </row>
    <row r="103" spans="1:15" s="1" customFormat="1">
      <c r="A103" s="60"/>
      <c r="B103" s="60" t="s">
        <v>3290</v>
      </c>
      <c r="C103" s="60" t="s">
        <v>3097</v>
      </c>
      <c r="D103" s="60" t="s">
        <v>3405</v>
      </c>
      <c r="E103" s="60"/>
      <c r="F103" s="60"/>
      <c r="G103" s="60" t="s">
        <v>3406</v>
      </c>
      <c r="H103" s="60" t="s">
        <v>3407</v>
      </c>
      <c r="I103" s="60"/>
      <c r="J103" s="60" t="s">
        <v>3408</v>
      </c>
      <c r="K103" s="60" t="s">
        <v>2752</v>
      </c>
      <c r="L103" s="60" t="s">
        <v>3409</v>
      </c>
      <c r="M103" s="18"/>
      <c r="N103" t="s">
        <v>3410</v>
      </c>
      <c r="O103" s="60">
        <v>467442</v>
      </c>
    </row>
    <row r="104" spans="1:15" s="1" customFormat="1">
      <c r="A104" s="60"/>
      <c r="B104" s="60" t="s">
        <v>3411</v>
      </c>
      <c r="C104" s="60" t="s">
        <v>3412</v>
      </c>
      <c r="D104" s="60" t="s">
        <v>3413</v>
      </c>
      <c r="E104" s="60"/>
      <c r="F104" s="60"/>
      <c r="G104" s="60" t="s">
        <v>3414</v>
      </c>
      <c r="H104" s="60" t="s">
        <v>3415</v>
      </c>
      <c r="I104" s="60"/>
      <c r="J104" s="60" t="s">
        <v>3416</v>
      </c>
      <c r="K104" s="60" t="s">
        <v>2752</v>
      </c>
      <c r="L104" s="60" t="s">
        <v>3417</v>
      </c>
      <c r="M104" s="63"/>
      <c r="N104" t="s">
        <v>3418</v>
      </c>
      <c r="O104" s="60">
        <v>79865</v>
      </c>
    </row>
    <row r="105" spans="1:15" s="1" customFormat="1">
      <c r="A105" s="60"/>
      <c r="B105" s="60" t="s">
        <v>3419</v>
      </c>
      <c r="C105" s="60" t="s">
        <v>2996</v>
      </c>
      <c r="D105" s="60" t="s">
        <v>3420</v>
      </c>
      <c r="E105" s="60"/>
      <c r="F105" s="60"/>
      <c r="G105" s="60" t="s">
        <v>3421</v>
      </c>
      <c r="H105" s="60" t="s">
        <v>2944</v>
      </c>
      <c r="I105" s="60"/>
      <c r="J105" s="60" t="s">
        <v>3422</v>
      </c>
      <c r="K105" s="60" t="s">
        <v>2752</v>
      </c>
      <c r="L105" s="60" t="s">
        <v>3423</v>
      </c>
      <c r="M105" s="60" t="s">
        <v>3206</v>
      </c>
      <c r="N105" s="60" t="s">
        <v>3424</v>
      </c>
      <c r="O105" s="60">
        <v>490937</v>
      </c>
    </row>
    <row r="106" spans="1:15" s="1" customFormat="1">
      <c r="A106" s="60"/>
      <c r="B106" s="60" t="s">
        <v>3425</v>
      </c>
      <c r="C106" s="60" t="s">
        <v>3049</v>
      </c>
      <c r="D106" s="60" t="s">
        <v>3426</v>
      </c>
      <c r="E106" s="60"/>
      <c r="F106" s="60"/>
      <c r="G106" s="60" t="s">
        <v>3427</v>
      </c>
      <c r="H106" s="60" t="s">
        <v>3428</v>
      </c>
      <c r="I106" s="60"/>
      <c r="J106" s="60" t="s">
        <v>3429</v>
      </c>
      <c r="K106" s="60" t="s">
        <v>2752</v>
      </c>
      <c r="L106" s="60" t="s">
        <v>3430</v>
      </c>
      <c r="M106" s="18"/>
      <c r="N106" t="s">
        <v>3431</v>
      </c>
      <c r="O106" s="60">
        <v>541875</v>
      </c>
    </row>
    <row r="107" spans="1:15" s="1" customFormat="1">
      <c r="A107" s="60"/>
      <c r="B107" s="60" t="s">
        <v>3432</v>
      </c>
      <c r="C107" s="60"/>
      <c r="D107" s="60" t="s">
        <v>3433</v>
      </c>
      <c r="E107" s="60"/>
      <c r="F107" s="60"/>
      <c r="G107" s="60" t="s">
        <v>3434</v>
      </c>
      <c r="H107" s="60" t="s">
        <v>2858</v>
      </c>
      <c r="I107" s="60"/>
      <c r="J107" s="60" t="s">
        <v>2859</v>
      </c>
      <c r="K107" s="60" t="s">
        <v>2752</v>
      </c>
      <c r="L107" s="1" t="s">
        <v>3435</v>
      </c>
      <c r="M107"/>
      <c r="N107" t="s">
        <v>3436</v>
      </c>
      <c r="O107" s="60">
        <v>286828</v>
      </c>
    </row>
    <row r="108" spans="1:15" s="1" customFormat="1">
      <c r="A108" s="60"/>
      <c r="B108" s="60" t="s">
        <v>3437</v>
      </c>
      <c r="C108" s="60" t="s">
        <v>3438</v>
      </c>
      <c r="D108" s="60" t="s">
        <v>3439</v>
      </c>
      <c r="E108" s="60"/>
      <c r="F108" s="60"/>
      <c r="G108" s="60" t="s">
        <v>3440</v>
      </c>
      <c r="H108" s="60" t="s">
        <v>3441</v>
      </c>
      <c r="I108" s="60"/>
      <c r="J108" s="60" t="s">
        <v>3442</v>
      </c>
      <c r="K108" s="60" t="s">
        <v>2752</v>
      </c>
      <c r="L108" s="60" t="s">
        <v>3443</v>
      </c>
      <c r="M108" s="18"/>
      <c r="N108" t="s">
        <v>3444</v>
      </c>
      <c r="O108" s="60">
        <v>264630</v>
      </c>
    </row>
    <row r="109" spans="1:15" s="1" customFormat="1">
      <c r="A109" s="60"/>
      <c r="B109" s="60" t="s">
        <v>3445</v>
      </c>
      <c r="C109" s="60"/>
      <c r="D109" s="60" t="s">
        <v>3446</v>
      </c>
      <c r="E109" s="60"/>
      <c r="F109" s="60"/>
      <c r="G109" s="60" t="s">
        <v>3447</v>
      </c>
      <c r="H109" s="60" t="s">
        <v>3448</v>
      </c>
      <c r="I109" s="60"/>
      <c r="J109" s="60" t="s">
        <v>3449</v>
      </c>
      <c r="K109" s="60" t="s">
        <v>2752</v>
      </c>
      <c r="L109" s="60" t="s">
        <v>3450</v>
      </c>
      <c r="M109" s="60" t="s">
        <v>3206</v>
      </c>
      <c r="N109" s="60" t="s">
        <v>3451</v>
      </c>
      <c r="O109" s="60">
        <v>510809</v>
      </c>
    </row>
    <row r="110" spans="1:15" s="1" customFormat="1">
      <c r="A110" s="60"/>
      <c r="B110" s="60" t="s">
        <v>3452</v>
      </c>
      <c r="C110" s="60" t="s">
        <v>3097</v>
      </c>
      <c r="D110" s="60" t="s">
        <v>3453</v>
      </c>
      <c r="E110" s="60"/>
      <c r="F110" s="60"/>
      <c r="G110" s="60" t="s">
        <v>3454</v>
      </c>
      <c r="H110" s="60" t="s">
        <v>3455</v>
      </c>
      <c r="I110" s="60"/>
      <c r="J110" s="60" t="s">
        <v>3449</v>
      </c>
      <c r="K110" s="60" t="s">
        <v>2752</v>
      </c>
      <c r="L110" s="60" t="s">
        <v>3456</v>
      </c>
      <c r="M110" s="18"/>
      <c r="N110" t="s">
        <v>3457</v>
      </c>
      <c r="O110" s="60">
        <v>213768</v>
      </c>
    </row>
    <row r="111" spans="1:15" s="1" customFormat="1">
      <c r="A111" s="60"/>
      <c r="B111" s="60" t="s">
        <v>3458</v>
      </c>
      <c r="C111" s="60" t="s">
        <v>2855</v>
      </c>
      <c r="D111" s="60" t="s">
        <v>3459</v>
      </c>
      <c r="E111" s="60"/>
      <c r="F111" s="60"/>
      <c r="G111" s="60" t="s">
        <v>3460</v>
      </c>
      <c r="H111" s="60" t="s">
        <v>3461</v>
      </c>
      <c r="I111" s="60"/>
      <c r="J111" s="60" t="s">
        <v>3462</v>
      </c>
      <c r="K111" s="60" t="s">
        <v>2752</v>
      </c>
      <c r="L111" s="60" t="s">
        <v>3463</v>
      </c>
      <c r="M111" s="60"/>
      <c r="N111" t="s">
        <v>3464</v>
      </c>
      <c r="O111" s="60">
        <v>264719</v>
      </c>
    </row>
    <row r="112" spans="1:15" s="1" customFormat="1">
      <c r="A112" s="60"/>
      <c r="B112" s="60" t="s">
        <v>3465</v>
      </c>
      <c r="C112" s="60" t="s">
        <v>2891</v>
      </c>
      <c r="D112" s="60" t="s">
        <v>3466</v>
      </c>
      <c r="E112" s="60"/>
      <c r="F112" s="60"/>
      <c r="G112" s="60" t="s">
        <v>3467</v>
      </c>
      <c r="H112" s="60" t="s">
        <v>3190</v>
      </c>
      <c r="I112" s="60"/>
      <c r="J112" s="60" t="s">
        <v>2792</v>
      </c>
      <c r="K112" s="60" t="s">
        <v>2752</v>
      </c>
      <c r="L112" s="60" t="s">
        <v>3468</v>
      </c>
      <c r="M112" s="60" t="s">
        <v>3469</v>
      </c>
      <c r="N112" s="60" t="s">
        <v>2987</v>
      </c>
      <c r="O112" s="60">
        <v>486543</v>
      </c>
    </row>
    <row r="113" spans="1:15" s="1" customFormat="1">
      <c r="A113" s="60"/>
      <c r="B113" s="60" t="s">
        <v>3470</v>
      </c>
      <c r="C113" s="60" t="s">
        <v>3076</v>
      </c>
      <c r="D113" s="60" t="s">
        <v>3471</v>
      </c>
      <c r="E113" s="60"/>
      <c r="F113" s="60"/>
      <c r="G113" s="60" t="s">
        <v>3472</v>
      </c>
      <c r="H113" s="60" t="s">
        <v>3473</v>
      </c>
      <c r="I113" s="60"/>
      <c r="J113" s="60" t="s">
        <v>3474</v>
      </c>
      <c r="K113" s="60" t="s">
        <v>2821</v>
      </c>
      <c r="L113" s="60" t="s">
        <v>3475</v>
      </c>
      <c r="M113" s="60"/>
      <c r="N113" s="245" t="s">
        <v>2987</v>
      </c>
      <c r="O113" s="60">
        <v>537152</v>
      </c>
    </row>
    <row r="114" spans="1:15" s="1" customFormat="1">
      <c r="A114" s="60"/>
      <c r="B114" s="60" t="s">
        <v>3476</v>
      </c>
      <c r="C114" s="60" t="s">
        <v>3477</v>
      </c>
      <c r="D114" s="60" t="s">
        <v>3478</v>
      </c>
      <c r="E114" s="60"/>
      <c r="F114" s="60"/>
      <c r="G114" s="60" t="s">
        <v>3479</v>
      </c>
      <c r="H114" s="60" t="s">
        <v>3218</v>
      </c>
      <c r="I114" s="60"/>
      <c r="J114" s="60" t="s">
        <v>2792</v>
      </c>
      <c r="K114" s="60" t="s">
        <v>2752</v>
      </c>
      <c r="L114" s="60" t="s">
        <v>3480</v>
      </c>
      <c r="M114" s="60" t="s">
        <v>3206</v>
      </c>
      <c r="N114" s="245" t="s">
        <v>3481</v>
      </c>
      <c r="O114" s="60">
        <v>511267</v>
      </c>
    </row>
    <row r="115" spans="1:15" s="1" customFormat="1">
      <c r="A115" s="60"/>
      <c r="B115" s="60" t="s">
        <v>3482</v>
      </c>
      <c r="C115" s="60"/>
      <c r="D115" s="60" t="s">
        <v>3483</v>
      </c>
      <c r="E115" s="60"/>
      <c r="F115" s="60"/>
      <c r="G115" s="60" t="s">
        <v>2877</v>
      </c>
      <c r="H115" s="60" t="s">
        <v>2878</v>
      </c>
      <c r="I115" s="60"/>
      <c r="J115" s="60" t="s">
        <v>3484</v>
      </c>
      <c r="K115" s="60" t="s">
        <v>2752</v>
      </c>
      <c r="L115" s="60" t="s">
        <v>3485</v>
      </c>
      <c r="M115" s="60"/>
      <c r="N115" t="s">
        <v>3486</v>
      </c>
      <c r="O115" s="60">
        <v>475286</v>
      </c>
    </row>
    <row r="116" spans="1:15" s="1" customFormat="1">
      <c r="A116" s="60"/>
      <c r="B116" s="60" t="s">
        <v>3200</v>
      </c>
      <c r="C116" s="60" t="s">
        <v>3316</v>
      </c>
      <c r="D116" s="60" t="s">
        <v>3487</v>
      </c>
      <c r="E116" s="60"/>
      <c r="F116" s="60"/>
      <c r="G116" s="60" t="s">
        <v>3488</v>
      </c>
      <c r="H116" s="60" t="s">
        <v>3489</v>
      </c>
      <c r="I116" s="60"/>
      <c r="J116" s="60" t="s">
        <v>3490</v>
      </c>
      <c r="K116" s="60" t="s">
        <v>2938</v>
      </c>
      <c r="L116" s="60" t="s">
        <v>3491</v>
      </c>
      <c r="M116" s="18"/>
      <c r="N116" t="s">
        <v>3492</v>
      </c>
      <c r="O116" s="60">
        <v>163625</v>
      </c>
    </row>
    <row r="117" spans="1:15" s="1" customFormat="1">
      <c r="A117" s="60"/>
      <c r="B117" s="60" t="s">
        <v>3493</v>
      </c>
      <c r="C117" s="60" t="s">
        <v>2841</v>
      </c>
      <c r="D117" s="60" t="s">
        <v>3494</v>
      </c>
      <c r="E117" s="60"/>
      <c r="F117" s="60"/>
      <c r="G117" s="60" t="s">
        <v>3495</v>
      </c>
      <c r="H117" s="60" t="s">
        <v>3496</v>
      </c>
      <c r="I117" s="60"/>
      <c r="J117" s="60" t="s">
        <v>3497</v>
      </c>
      <c r="K117" s="60" t="s">
        <v>2752</v>
      </c>
      <c r="L117" s="60" t="s">
        <v>3498</v>
      </c>
      <c r="M117" s="18"/>
      <c r="N117" t="s">
        <v>3499</v>
      </c>
      <c r="O117" s="60">
        <v>536580</v>
      </c>
    </row>
    <row r="118" spans="1:15" s="1" customFormat="1">
      <c r="A118" s="60"/>
      <c r="B118" s="60" t="s">
        <v>3500</v>
      </c>
      <c r="C118" s="60" t="s">
        <v>3347</v>
      </c>
      <c r="D118" s="60" t="s">
        <v>3501</v>
      </c>
      <c r="E118" s="60"/>
      <c r="F118" s="60"/>
      <c r="G118" s="60" t="s">
        <v>3502</v>
      </c>
      <c r="H118" s="60" t="s">
        <v>3503</v>
      </c>
      <c r="I118" s="60"/>
      <c r="J118" s="60" t="s">
        <v>3504</v>
      </c>
      <c r="K118" s="60" t="s">
        <v>2752</v>
      </c>
      <c r="L118" s="60" t="s">
        <v>3505</v>
      </c>
      <c r="M118" s="60" t="s">
        <v>2769</v>
      </c>
      <c r="N118" t="s">
        <v>2987</v>
      </c>
      <c r="O118" s="60">
        <v>79577</v>
      </c>
    </row>
    <row r="119" spans="1:15" s="1" customFormat="1">
      <c r="A119" s="60"/>
      <c r="B119" s="60" t="s">
        <v>3506</v>
      </c>
      <c r="C119" s="60" t="s">
        <v>2810</v>
      </c>
      <c r="D119" s="60" t="s">
        <v>3507</v>
      </c>
      <c r="E119" s="60"/>
      <c r="F119" s="60"/>
      <c r="G119" s="60" t="s">
        <v>3196</v>
      </c>
      <c r="H119" s="60" t="s">
        <v>3508</v>
      </c>
      <c r="I119" s="60"/>
      <c r="J119" s="60" t="s">
        <v>3504</v>
      </c>
      <c r="K119" s="60" t="s">
        <v>2752</v>
      </c>
      <c r="L119" s="60" t="s">
        <v>3509</v>
      </c>
      <c r="M119" s="60"/>
      <c r="N119" t="s">
        <v>3510</v>
      </c>
      <c r="O119" s="60">
        <v>81987</v>
      </c>
    </row>
    <row r="120" spans="1:15" s="1" customFormat="1">
      <c r="A120" s="60"/>
      <c r="B120" s="60" t="s">
        <v>3511</v>
      </c>
      <c r="C120" s="60" t="s">
        <v>3316</v>
      </c>
      <c r="D120" s="60" t="s">
        <v>3512</v>
      </c>
      <c r="E120" s="60"/>
      <c r="F120" s="60"/>
      <c r="G120" s="60" t="s">
        <v>3513</v>
      </c>
      <c r="H120" s="60" t="s">
        <v>3514</v>
      </c>
      <c r="I120" s="60"/>
      <c r="J120" s="60" t="s">
        <v>3515</v>
      </c>
      <c r="K120" s="60" t="s">
        <v>2752</v>
      </c>
      <c r="L120" s="1" t="s">
        <v>3516</v>
      </c>
      <c r="M120"/>
      <c r="N120" t="s">
        <v>3517</v>
      </c>
      <c r="O120" s="60">
        <v>544886</v>
      </c>
    </row>
    <row r="121" spans="1:15" s="1" customFormat="1">
      <c r="A121" s="60"/>
      <c r="B121" s="60" t="s">
        <v>3511</v>
      </c>
      <c r="C121" s="60" t="s">
        <v>2967</v>
      </c>
      <c r="D121" s="60" t="s">
        <v>3518</v>
      </c>
      <c r="E121" s="60"/>
      <c r="F121" s="60"/>
      <c r="G121" s="60" t="s">
        <v>3519</v>
      </c>
      <c r="H121" s="60" t="s">
        <v>3520</v>
      </c>
      <c r="I121" s="60"/>
      <c r="J121" s="60" t="s">
        <v>3521</v>
      </c>
      <c r="K121" s="60" t="s">
        <v>2752</v>
      </c>
      <c r="L121" s="60" t="s">
        <v>3522</v>
      </c>
      <c r="M121" s="60" t="s">
        <v>2769</v>
      </c>
      <c r="N121" s="60" t="s">
        <v>2987</v>
      </c>
      <c r="O121" s="60">
        <v>164983</v>
      </c>
    </row>
    <row r="122" spans="1:15" s="1" customFormat="1">
      <c r="A122" s="60"/>
      <c r="B122" s="60" t="s">
        <v>3523</v>
      </c>
      <c r="C122" s="60"/>
      <c r="D122" s="60" t="s">
        <v>3524</v>
      </c>
      <c r="E122" s="60"/>
      <c r="F122" s="60"/>
      <c r="G122" s="60" t="s">
        <v>3525</v>
      </c>
      <c r="H122" s="60" t="s">
        <v>3526</v>
      </c>
      <c r="I122" s="60"/>
      <c r="J122" s="60" t="s">
        <v>3527</v>
      </c>
      <c r="K122" s="60" t="s">
        <v>2752</v>
      </c>
      <c r="L122" s="230" t="s">
        <v>3528</v>
      </c>
      <c r="M122" s="18"/>
      <c r="N122" t="s">
        <v>3529</v>
      </c>
      <c r="O122" s="60">
        <v>549694</v>
      </c>
    </row>
    <row r="123" spans="1:15" s="1" customFormat="1">
      <c r="A123" s="60"/>
      <c r="B123" s="60" t="s">
        <v>3530</v>
      </c>
      <c r="C123" s="60"/>
      <c r="D123" s="60" t="s">
        <v>3531</v>
      </c>
      <c r="E123" s="60"/>
      <c r="F123" s="60"/>
      <c r="G123" s="60"/>
      <c r="H123" s="60" t="s">
        <v>3099</v>
      </c>
      <c r="I123" s="60"/>
      <c r="J123" s="60" t="s">
        <v>3053</v>
      </c>
      <c r="K123" s="60" t="s">
        <v>2752</v>
      </c>
      <c r="L123" s="60" t="s">
        <v>3532</v>
      </c>
      <c r="M123" s="18"/>
      <c r="N123" t="s">
        <v>3533</v>
      </c>
      <c r="O123" s="60">
        <v>532311</v>
      </c>
    </row>
    <row r="124" spans="1:15" s="1" customFormat="1">
      <c r="A124" s="60"/>
      <c r="B124" s="60" t="s">
        <v>3534</v>
      </c>
      <c r="C124" s="60"/>
      <c r="D124" s="60" t="s">
        <v>3535</v>
      </c>
      <c r="E124" s="60"/>
      <c r="F124" s="60"/>
      <c r="G124" s="60" t="s">
        <v>3536</v>
      </c>
      <c r="H124" s="60" t="s">
        <v>3537</v>
      </c>
      <c r="I124" s="60"/>
      <c r="J124" s="60" t="s">
        <v>3538</v>
      </c>
      <c r="K124" s="60" t="s">
        <v>2752</v>
      </c>
      <c r="L124" s="230" t="s">
        <v>3539</v>
      </c>
      <c r="M124" s="18" t="s">
        <v>2807</v>
      </c>
      <c r="N124" s="247" t="s">
        <v>3540</v>
      </c>
      <c r="O124" s="60">
        <v>466876</v>
      </c>
    </row>
    <row r="125" spans="1:15" s="1" customFormat="1">
      <c r="A125" s="60"/>
      <c r="B125" s="60" t="s">
        <v>3541</v>
      </c>
      <c r="C125" s="60" t="s">
        <v>2810</v>
      </c>
      <c r="D125" s="60" t="s">
        <v>3542</v>
      </c>
      <c r="E125" s="60"/>
      <c r="F125" s="60"/>
      <c r="G125" s="60" t="s">
        <v>3543</v>
      </c>
      <c r="H125" s="60" t="s">
        <v>3544</v>
      </c>
      <c r="I125" s="60"/>
      <c r="J125" s="60" t="s">
        <v>3545</v>
      </c>
      <c r="K125" s="60" t="s">
        <v>2752</v>
      </c>
      <c r="L125" s="60" t="s">
        <v>3546</v>
      </c>
      <c r="M125" s="18"/>
      <c r="N125" t="s">
        <v>3547</v>
      </c>
      <c r="O125" s="60">
        <v>79749</v>
      </c>
    </row>
    <row r="126" spans="1:15" s="1" customFormat="1">
      <c r="A126" s="60"/>
      <c r="B126" s="60" t="s">
        <v>3548</v>
      </c>
      <c r="C126" s="60"/>
      <c r="D126" s="60" t="s">
        <v>3549</v>
      </c>
      <c r="E126" s="60"/>
      <c r="F126" s="60"/>
      <c r="G126" s="60"/>
      <c r="H126" s="60" t="s">
        <v>3550</v>
      </c>
      <c r="I126" s="60"/>
      <c r="J126" s="60" t="s">
        <v>3551</v>
      </c>
      <c r="K126" s="60" t="s">
        <v>2752</v>
      </c>
      <c r="L126" s="1" t="s">
        <v>3552</v>
      </c>
      <c r="M126" s="60" t="s">
        <v>3047</v>
      </c>
      <c r="N126" s="60" t="s">
        <v>3553</v>
      </c>
      <c r="O126" s="60">
        <v>264518</v>
      </c>
    </row>
    <row r="127" spans="1:15" s="1" customFormat="1">
      <c r="A127" s="60"/>
      <c r="B127" s="60" t="s">
        <v>3554</v>
      </c>
      <c r="C127" s="60" t="s">
        <v>3347</v>
      </c>
      <c r="D127" s="60" t="s">
        <v>3549</v>
      </c>
      <c r="E127" s="60"/>
      <c r="F127" s="60"/>
      <c r="G127" s="60" t="s">
        <v>3555</v>
      </c>
      <c r="H127" s="60" t="s">
        <v>3556</v>
      </c>
      <c r="I127" s="60"/>
      <c r="J127" s="60" t="s">
        <v>3557</v>
      </c>
      <c r="K127" s="60" t="s">
        <v>2938</v>
      </c>
      <c r="L127" s="60" t="s">
        <v>3558</v>
      </c>
      <c r="M127" s="60" t="s">
        <v>3469</v>
      </c>
      <c r="N127" s="245" t="s">
        <v>2987</v>
      </c>
      <c r="O127" s="60">
        <v>474241</v>
      </c>
    </row>
    <row r="128" spans="1:15" s="1" customFormat="1">
      <c r="A128" s="60"/>
      <c r="B128" s="60" t="s">
        <v>3559</v>
      </c>
      <c r="C128" s="60" t="s">
        <v>3049</v>
      </c>
      <c r="D128" s="60" t="s">
        <v>3549</v>
      </c>
      <c r="E128" s="60"/>
      <c r="F128" s="60"/>
      <c r="G128" s="60" t="s">
        <v>3560</v>
      </c>
      <c r="H128" s="60" t="s">
        <v>3561</v>
      </c>
      <c r="I128" s="60"/>
      <c r="J128" s="60" t="s">
        <v>3562</v>
      </c>
      <c r="K128" s="60" t="s">
        <v>2752</v>
      </c>
      <c r="L128" s="60" t="s">
        <v>3563</v>
      </c>
      <c r="M128" s="18"/>
      <c r="N128" t="s">
        <v>3564</v>
      </c>
      <c r="O128" s="60">
        <v>504956</v>
      </c>
    </row>
    <row r="129" spans="1:15" s="1" customFormat="1">
      <c r="A129" s="60"/>
      <c r="B129" s="60" t="s">
        <v>3565</v>
      </c>
      <c r="C129" s="60"/>
      <c r="D129" s="60" t="s">
        <v>3566</v>
      </c>
      <c r="E129" s="60"/>
      <c r="F129" s="60"/>
      <c r="G129" s="60"/>
      <c r="H129" s="60" t="s">
        <v>3567</v>
      </c>
      <c r="I129" s="60"/>
      <c r="J129" s="60" t="s">
        <v>3568</v>
      </c>
      <c r="K129" s="60" t="s">
        <v>2752</v>
      </c>
      <c r="L129" s="230" t="s">
        <v>3569</v>
      </c>
      <c r="M129" s="231"/>
      <c r="N129" t="s">
        <v>3570</v>
      </c>
      <c r="O129" s="60">
        <v>170596</v>
      </c>
    </row>
    <row r="130" spans="1:15" s="1" customFormat="1">
      <c r="A130" s="60"/>
      <c r="B130" s="60" t="s">
        <v>3571</v>
      </c>
      <c r="C130" s="60" t="s">
        <v>2891</v>
      </c>
      <c r="D130" s="60" t="s">
        <v>3572</v>
      </c>
      <c r="E130" s="60"/>
      <c r="F130" s="60"/>
      <c r="G130" s="60" t="s">
        <v>3573</v>
      </c>
      <c r="H130" s="60" t="s">
        <v>3182</v>
      </c>
      <c r="I130" s="60"/>
      <c r="J130" s="60" t="s">
        <v>2759</v>
      </c>
      <c r="K130" s="60" t="s">
        <v>2752</v>
      </c>
      <c r="L130" s="60" t="s">
        <v>3574</v>
      </c>
      <c r="M130" s="60" t="s">
        <v>2769</v>
      </c>
      <c r="N130" s="60" t="s">
        <v>3575</v>
      </c>
      <c r="O130" s="60">
        <v>79581</v>
      </c>
    </row>
    <row r="131" spans="1:15" s="1" customFormat="1">
      <c r="A131" s="60"/>
      <c r="B131" s="60" t="s">
        <v>3576</v>
      </c>
      <c r="C131" s="60" t="s">
        <v>3347</v>
      </c>
      <c r="D131" s="60" t="s">
        <v>3577</v>
      </c>
      <c r="E131" s="60"/>
      <c r="F131" s="60"/>
      <c r="G131" s="60" t="s">
        <v>3578</v>
      </c>
      <c r="H131" s="60" t="s">
        <v>3579</v>
      </c>
      <c r="I131" s="60"/>
      <c r="J131" s="60" t="s">
        <v>3580</v>
      </c>
      <c r="K131" s="60" t="s">
        <v>2752</v>
      </c>
      <c r="L131" s="60" t="s">
        <v>3581</v>
      </c>
      <c r="M131" s="18"/>
      <c r="N131" t="s">
        <v>3582</v>
      </c>
      <c r="O131" s="60">
        <v>211311</v>
      </c>
    </row>
    <row r="132" spans="1:15" s="1" customFormat="1">
      <c r="A132" s="60"/>
      <c r="B132" s="60" t="s">
        <v>3583</v>
      </c>
      <c r="C132" s="60" t="s">
        <v>2996</v>
      </c>
      <c r="D132" s="60" t="s">
        <v>3577</v>
      </c>
      <c r="E132" s="60"/>
      <c r="F132" s="60"/>
      <c r="G132" s="60" t="s">
        <v>3584</v>
      </c>
      <c r="H132" s="60" t="s">
        <v>3585</v>
      </c>
      <c r="I132" s="60"/>
      <c r="J132" s="60" t="s">
        <v>3053</v>
      </c>
      <c r="K132" s="60" t="s">
        <v>2752</v>
      </c>
      <c r="L132" s="60" t="s">
        <v>3586</v>
      </c>
      <c r="M132" s="60"/>
      <c r="N132" t="s">
        <v>3587</v>
      </c>
      <c r="O132" s="60">
        <v>261717</v>
      </c>
    </row>
    <row r="133" spans="1:15" s="1" customFormat="1">
      <c r="A133" s="60"/>
      <c r="B133" s="60" t="s">
        <v>3588</v>
      </c>
      <c r="C133" s="60"/>
      <c r="D133" s="60" t="s">
        <v>3589</v>
      </c>
      <c r="E133" s="60"/>
      <c r="F133" s="60"/>
      <c r="G133" s="60" t="s">
        <v>3590</v>
      </c>
      <c r="H133" s="60" t="s">
        <v>3591</v>
      </c>
      <c r="I133" s="60"/>
      <c r="J133" s="60" t="s">
        <v>2859</v>
      </c>
      <c r="K133" s="60" t="s">
        <v>2752</v>
      </c>
      <c r="L133" s="230" t="s">
        <v>3592</v>
      </c>
      <c r="M133" s="231"/>
      <c r="N133" t="s">
        <v>3593</v>
      </c>
      <c r="O133" s="60">
        <v>166707</v>
      </c>
    </row>
    <row r="134" spans="1:15" s="1" customFormat="1">
      <c r="A134" s="60"/>
      <c r="B134" s="60" t="s">
        <v>3594</v>
      </c>
      <c r="C134" s="60" t="s">
        <v>2996</v>
      </c>
      <c r="D134" s="60" t="s">
        <v>2919</v>
      </c>
      <c r="E134" s="60"/>
      <c r="F134" s="60"/>
      <c r="G134" s="60" t="s">
        <v>3595</v>
      </c>
      <c r="H134" s="60" t="s">
        <v>3596</v>
      </c>
      <c r="I134" s="60"/>
      <c r="J134" s="60" t="s">
        <v>3538</v>
      </c>
      <c r="K134" s="60" t="s">
        <v>2752</v>
      </c>
      <c r="L134" s="60" t="s">
        <v>3597</v>
      </c>
      <c r="M134" s="60" t="s">
        <v>3047</v>
      </c>
      <c r="N134" s="60" t="s">
        <v>2987</v>
      </c>
      <c r="O134" s="60">
        <v>163054</v>
      </c>
    </row>
    <row r="135" spans="1:15" s="1" customFormat="1">
      <c r="A135" s="60"/>
      <c r="B135" s="60" t="s">
        <v>3598</v>
      </c>
      <c r="C135" s="60"/>
      <c r="D135" s="60" t="s">
        <v>3599</v>
      </c>
      <c r="E135" s="60"/>
      <c r="F135" s="60"/>
      <c r="G135" s="60" t="s">
        <v>2877</v>
      </c>
      <c r="H135" s="60" t="s">
        <v>3300</v>
      </c>
      <c r="I135" s="60"/>
      <c r="J135" s="60" t="s">
        <v>3053</v>
      </c>
      <c r="K135" s="60" t="s">
        <v>2752</v>
      </c>
      <c r="L135" s="230" t="s">
        <v>3600</v>
      </c>
      <c r="M135" s="231"/>
      <c r="N135" t="s">
        <v>3601</v>
      </c>
      <c r="O135" s="60">
        <v>487726</v>
      </c>
    </row>
    <row r="136" spans="1:15" s="1" customFormat="1">
      <c r="A136" s="60"/>
      <c r="B136" s="60" t="s">
        <v>3602</v>
      </c>
      <c r="C136" s="60" t="s">
        <v>2891</v>
      </c>
      <c r="D136" s="60" t="s">
        <v>3603</v>
      </c>
      <c r="E136" s="60"/>
      <c r="F136" s="60"/>
      <c r="G136" s="60" t="s">
        <v>3604</v>
      </c>
      <c r="H136" s="60" t="s">
        <v>3605</v>
      </c>
      <c r="I136" s="60"/>
      <c r="J136" s="60" t="s">
        <v>3053</v>
      </c>
      <c r="K136" s="60" t="s">
        <v>2752</v>
      </c>
      <c r="L136" s="1" t="s">
        <v>3606</v>
      </c>
      <c r="M136"/>
      <c r="N136" t="s">
        <v>3607</v>
      </c>
      <c r="O136" s="60">
        <v>213291</v>
      </c>
    </row>
    <row r="137" spans="1:15" s="1" customFormat="1">
      <c r="A137" s="60"/>
      <c r="B137" s="60" t="s">
        <v>3608</v>
      </c>
      <c r="C137" s="60" t="s">
        <v>2756</v>
      </c>
      <c r="D137" s="60" t="s">
        <v>3603</v>
      </c>
      <c r="E137" s="60"/>
      <c r="F137" s="60"/>
      <c r="G137" s="60" t="s">
        <v>3609</v>
      </c>
      <c r="H137" s="60" t="s">
        <v>3610</v>
      </c>
      <c r="I137" s="60"/>
      <c r="J137" s="60" t="s">
        <v>3611</v>
      </c>
      <c r="K137" s="60" t="s">
        <v>2938</v>
      </c>
      <c r="L137" s="230" t="s">
        <v>3612</v>
      </c>
      <c r="M137" s="60"/>
      <c r="N137" t="s">
        <v>3613</v>
      </c>
      <c r="O137" s="60">
        <v>532507</v>
      </c>
    </row>
    <row r="138" spans="1:15" s="1" customFormat="1">
      <c r="A138" s="60"/>
      <c r="B138" s="60" t="s">
        <v>3614</v>
      </c>
      <c r="C138" s="60"/>
      <c r="D138" s="60" t="s">
        <v>3615</v>
      </c>
      <c r="E138" s="60"/>
      <c r="F138" s="60"/>
      <c r="G138" s="60" t="s">
        <v>3616</v>
      </c>
      <c r="H138" s="60" t="s">
        <v>2797</v>
      </c>
      <c r="I138" s="60"/>
      <c r="J138" s="60" t="s">
        <v>3617</v>
      </c>
      <c r="K138" s="60" t="s">
        <v>2938</v>
      </c>
      <c r="L138" s="1" t="s">
        <v>3618</v>
      </c>
      <c r="M138" s="60" t="s">
        <v>2769</v>
      </c>
      <c r="N138" s="245" t="s">
        <v>3619</v>
      </c>
      <c r="O138" s="60">
        <v>162452</v>
      </c>
    </row>
    <row r="139" spans="1:15" s="1" customFormat="1">
      <c r="A139" s="60"/>
      <c r="B139" s="60" t="s">
        <v>3269</v>
      </c>
      <c r="C139" s="60" t="s">
        <v>2810</v>
      </c>
      <c r="D139" s="60" t="s">
        <v>3620</v>
      </c>
      <c r="E139" s="60"/>
      <c r="F139" s="60"/>
      <c r="G139" s="60" t="s">
        <v>3621</v>
      </c>
      <c r="H139" s="60" t="s">
        <v>3622</v>
      </c>
      <c r="I139" s="60"/>
      <c r="J139" s="60" t="s">
        <v>3623</v>
      </c>
      <c r="K139" s="60" t="s">
        <v>2752</v>
      </c>
      <c r="L139" s="1" t="s">
        <v>3624</v>
      </c>
      <c r="M139"/>
      <c r="N139" t="s">
        <v>3625</v>
      </c>
      <c r="O139" s="60">
        <v>165692</v>
      </c>
    </row>
    <row r="140" spans="1:15" s="1" customFormat="1">
      <c r="A140" s="60"/>
      <c r="B140" s="60" t="s">
        <v>3275</v>
      </c>
      <c r="C140" s="60" t="s">
        <v>2780</v>
      </c>
      <c r="D140" s="60" t="s">
        <v>3626</v>
      </c>
      <c r="E140" s="60"/>
      <c r="F140" s="60"/>
      <c r="G140" s="60" t="s">
        <v>3627</v>
      </c>
      <c r="H140" s="60" t="s">
        <v>3628</v>
      </c>
      <c r="I140" s="60"/>
      <c r="J140" s="60" t="s">
        <v>3629</v>
      </c>
      <c r="K140" s="60" t="s">
        <v>3630</v>
      </c>
      <c r="L140" s="60" t="s">
        <v>3631</v>
      </c>
      <c r="M140" s="18"/>
      <c r="N140" t="s">
        <v>3632</v>
      </c>
      <c r="O140" s="60">
        <v>163438</v>
      </c>
    </row>
    <row r="141" spans="1:15" s="1" customFormat="1">
      <c r="A141" s="60"/>
      <c r="B141" s="60" t="s">
        <v>3633</v>
      </c>
      <c r="C141" s="60"/>
      <c r="D141" s="60" t="s">
        <v>3626</v>
      </c>
      <c r="E141" s="60"/>
      <c r="F141" s="60"/>
      <c r="G141" s="60" t="s">
        <v>2877</v>
      </c>
      <c r="H141" s="60" t="s">
        <v>2878</v>
      </c>
      <c r="I141" s="60"/>
      <c r="J141" s="60" t="s">
        <v>3634</v>
      </c>
      <c r="K141" s="60" t="s">
        <v>2752</v>
      </c>
      <c r="L141" s="60" t="s">
        <v>3635</v>
      </c>
      <c r="M141" s="18"/>
      <c r="N141" t="s">
        <v>3636</v>
      </c>
      <c r="O141" s="60">
        <v>533498</v>
      </c>
    </row>
    <row r="142" spans="1:15" s="1" customFormat="1">
      <c r="A142" s="60"/>
      <c r="B142" s="60" t="s">
        <v>3637</v>
      </c>
      <c r="C142" s="60"/>
      <c r="D142" s="60" t="s">
        <v>3638</v>
      </c>
      <c r="E142" s="60"/>
      <c r="F142" s="60"/>
      <c r="G142" s="60" t="s">
        <v>3639</v>
      </c>
      <c r="H142" s="60" t="s">
        <v>3640</v>
      </c>
      <c r="I142" s="60"/>
      <c r="J142" s="60" t="s">
        <v>3641</v>
      </c>
      <c r="K142" s="60" t="s">
        <v>2821</v>
      </c>
      <c r="L142" s="230" t="s">
        <v>3642</v>
      </c>
      <c r="M142" s="231"/>
      <c r="N142" t="s">
        <v>3643</v>
      </c>
      <c r="O142" s="60">
        <v>546931</v>
      </c>
    </row>
    <row r="143" spans="1:15" s="1" customFormat="1">
      <c r="A143" s="60"/>
      <c r="B143" s="60" t="s">
        <v>3186</v>
      </c>
      <c r="C143" s="60" t="s">
        <v>3644</v>
      </c>
      <c r="D143" s="60" t="s">
        <v>3645</v>
      </c>
      <c r="E143" s="60"/>
      <c r="F143" s="60"/>
      <c r="G143" s="60"/>
      <c r="H143" s="60" t="s">
        <v>3646</v>
      </c>
      <c r="I143" s="60"/>
      <c r="J143" s="60"/>
      <c r="K143" s="60"/>
      <c r="L143" s="60" t="s">
        <v>3647</v>
      </c>
      <c r="M143" s="63"/>
      <c r="N143" t="s">
        <v>3648</v>
      </c>
      <c r="O143" s="60">
        <v>486954</v>
      </c>
    </row>
    <row r="144" spans="1:15" s="1" customFormat="1">
      <c r="A144" s="60"/>
      <c r="B144" s="60" t="s">
        <v>3649</v>
      </c>
      <c r="C144" s="60" t="s">
        <v>2996</v>
      </c>
      <c r="D144" s="60" t="s">
        <v>3650</v>
      </c>
      <c r="E144" s="60"/>
      <c r="F144" s="60"/>
      <c r="G144" s="60" t="s">
        <v>3651</v>
      </c>
      <c r="H144" s="60" t="s">
        <v>3652</v>
      </c>
      <c r="I144" s="60"/>
      <c r="J144" s="60" t="s">
        <v>3653</v>
      </c>
      <c r="K144" s="60" t="s">
        <v>2752</v>
      </c>
      <c r="L144" s="60" t="s">
        <v>3654</v>
      </c>
      <c r="M144" s="18"/>
      <c r="N144" t="s">
        <v>3655</v>
      </c>
      <c r="O144" s="60">
        <v>516592</v>
      </c>
    </row>
    <row r="145" spans="1:15" s="1" customFormat="1">
      <c r="A145" s="60"/>
      <c r="B145" s="60" t="s">
        <v>2771</v>
      </c>
      <c r="C145" s="60" t="s">
        <v>3656</v>
      </c>
      <c r="D145" s="60" t="s">
        <v>3657</v>
      </c>
      <c r="E145" s="60"/>
      <c r="F145" s="60"/>
      <c r="G145" s="60" t="s">
        <v>3658</v>
      </c>
      <c r="H145" s="60" t="s">
        <v>3659</v>
      </c>
      <c r="I145" s="60"/>
      <c r="J145" s="60" t="s">
        <v>3660</v>
      </c>
      <c r="K145" s="60" t="s">
        <v>2752</v>
      </c>
      <c r="L145" s="60" t="s">
        <v>3661</v>
      </c>
      <c r="M145" s="18"/>
      <c r="N145" t="s">
        <v>3662</v>
      </c>
      <c r="O145" s="60">
        <v>540709</v>
      </c>
    </row>
    <row r="146" spans="1:15" s="1" customFormat="1">
      <c r="A146" s="60"/>
      <c r="B146" s="60" t="s">
        <v>3663</v>
      </c>
      <c r="C146" s="60" t="s">
        <v>2810</v>
      </c>
      <c r="D146" s="60" t="s">
        <v>3664</v>
      </c>
      <c r="E146" s="60"/>
      <c r="F146" s="60"/>
      <c r="G146" s="60" t="s">
        <v>2877</v>
      </c>
      <c r="H146" s="60" t="s">
        <v>2878</v>
      </c>
      <c r="I146" s="60"/>
      <c r="J146" s="60" t="s">
        <v>3665</v>
      </c>
      <c r="K146" s="60" t="s">
        <v>2752</v>
      </c>
      <c r="L146" s="60" t="s">
        <v>3666</v>
      </c>
      <c r="M146" s="60" t="s">
        <v>2769</v>
      </c>
      <c r="N146" t="s">
        <v>3667</v>
      </c>
      <c r="O146" s="60">
        <v>167305</v>
      </c>
    </row>
    <row r="147" spans="1:15" s="1" customFormat="1">
      <c r="A147" s="60"/>
      <c r="B147" s="60" t="s">
        <v>3668</v>
      </c>
      <c r="C147" s="60" t="s">
        <v>2891</v>
      </c>
      <c r="D147" s="60" t="s">
        <v>3664</v>
      </c>
      <c r="E147" s="60"/>
      <c r="F147" s="60"/>
      <c r="G147" s="60" t="s">
        <v>3669</v>
      </c>
      <c r="H147" s="60" t="s">
        <v>3670</v>
      </c>
      <c r="I147" s="60"/>
      <c r="J147" s="60" t="s">
        <v>3671</v>
      </c>
      <c r="K147" s="60" t="s">
        <v>2752</v>
      </c>
      <c r="L147" s="60" t="s">
        <v>3672</v>
      </c>
      <c r="M147" s="60" t="s">
        <v>2769</v>
      </c>
      <c r="N147" s="78" t="s">
        <v>3673</v>
      </c>
      <c r="O147" s="60">
        <v>492988</v>
      </c>
    </row>
    <row r="148" spans="1:15" s="1" customFormat="1">
      <c r="A148" s="60"/>
      <c r="B148" s="60" t="s">
        <v>3674</v>
      </c>
      <c r="C148" s="60"/>
      <c r="D148" s="60" t="s">
        <v>3675</v>
      </c>
      <c r="E148" s="60"/>
      <c r="F148" s="60"/>
      <c r="G148" s="60" t="s">
        <v>3676</v>
      </c>
      <c r="H148" s="60" t="s">
        <v>3677</v>
      </c>
      <c r="I148" s="60"/>
      <c r="J148" s="60" t="s">
        <v>3678</v>
      </c>
      <c r="K148" s="60" t="s">
        <v>2752</v>
      </c>
      <c r="L148" s="1" t="s">
        <v>3679</v>
      </c>
      <c r="M148"/>
      <c r="N148" t="s">
        <v>3680</v>
      </c>
      <c r="O148" s="60">
        <v>543926</v>
      </c>
    </row>
    <row r="149" spans="1:15" s="1" customFormat="1">
      <c r="A149" s="60"/>
      <c r="B149" s="60" t="s">
        <v>3681</v>
      </c>
      <c r="C149" s="60"/>
      <c r="D149" s="60" t="s">
        <v>3682</v>
      </c>
      <c r="E149" s="60"/>
      <c r="F149" s="60"/>
      <c r="G149" s="60" t="s">
        <v>2877</v>
      </c>
      <c r="H149" s="60" t="s">
        <v>2878</v>
      </c>
      <c r="I149" s="60"/>
      <c r="J149" s="60" t="s">
        <v>3683</v>
      </c>
      <c r="K149" s="60" t="s">
        <v>2752</v>
      </c>
      <c r="L149" s="1" t="s">
        <v>3684</v>
      </c>
      <c r="M149"/>
      <c r="N149" t="s">
        <v>3685</v>
      </c>
      <c r="O149" s="60">
        <v>404100</v>
      </c>
    </row>
    <row r="150" spans="1:15" s="1" customFormat="1">
      <c r="A150" s="60"/>
      <c r="B150" s="60" t="s">
        <v>3269</v>
      </c>
      <c r="C150" s="60" t="s">
        <v>3097</v>
      </c>
      <c r="D150" s="60" t="s">
        <v>3686</v>
      </c>
      <c r="E150" s="60"/>
      <c r="F150" s="60"/>
      <c r="G150" s="60" t="s">
        <v>3687</v>
      </c>
      <c r="H150" s="60" t="s">
        <v>3688</v>
      </c>
      <c r="I150" s="60"/>
      <c r="J150" s="60" t="s">
        <v>3067</v>
      </c>
      <c r="K150" s="60" t="s">
        <v>2752</v>
      </c>
      <c r="L150" s="60" t="s">
        <v>3689</v>
      </c>
      <c r="M150" s="18"/>
      <c r="N150" t="s">
        <v>3690</v>
      </c>
      <c r="O150" s="60">
        <v>465742</v>
      </c>
    </row>
    <row r="151" spans="1:15" s="1" customFormat="1">
      <c r="A151" s="60"/>
      <c r="B151" s="60" t="s">
        <v>3691</v>
      </c>
      <c r="C151" s="60" t="s">
        <v>2891</v>
      </c>
      <c r="D151" s="60" t="s">
        <v>3692</v>
      </c>
      <c r="E151" s="60"/>
      <c r="F151" s="60"/>
      <c r="G151" s="60" t="s">
        <v>3693</v>
      </c>
      <c r="H151" s="60" t="s">
        <v>3694</v>
      </c>
      <c r="I151" s="60"/>
      <c r="J151" s="60" t="s">
        <v>3695</v>
      </c>
      <c r="K151" s="60" t="s">
        <v>2752</v>
      </c>
      <c r="L151" s="60" t="s">
        <v>3696</v>
      </c>
      <c r="M151" s="63"/>
      <c r="N151" t="s">
        <v>3697</v>
      </c>
      <c r="O151" s="60">
        <v>495428</v>
      </c>
    </row>
    <row r="152" spans="1:15" s="1" customFormat="1">
      <c r="A152" s="60"/>
      <c r="B152" s="60" t="s">
        <v>3644</v>
      </c>
      <c r="C152" s="60" t="s">
        <v>3698</v>
      </c>
      <c r="D152" s="60" t="s">
        <v>3699</v>
      </c>
      <c r="E152" s="60"/>
      <c r="F152" s="60"/>
      <c r="G152" s="60" t="s">
        <v>3700</v>
      </c>
      <c r="H152" s="60" t="s">
        <v>2828</v>
      </c>
      <c r="I152" s="60"/>
      <c r="J152" s="233" t="s">
        <v>3701</v>
      </c>
      <c r="K152" s="60" t="s">
        <v>2938</v>
      </c>
      <c r="L152" s="1" t="s">
        <v>3702</v>
      </c>
      <c r="M152"/>
      <c r="N152" t="s">
        <v>3703</v>
      </c>
      <c r="O152" s="60">
        <v>515262</v>
      </c>
    </row>
    <row r="153" spans="1:15" s="1" customFormat="1">
      <c r="A153" s="60"/>
      <c r="B153" s="60" t="s">
        <v>3704</v>
      </c>
      <c r="C153" s="60" t="s">
        <v>2825</v>
      </c>
      <c r="D153" s="60" t="s">
        <v>3705</v>
      </c>
      <c r="E153" s="60"/>
      <c r="F153" s="60"/>
      <c r="G153" s="60"/>
      <c r="H153" s="60" t="s">
        <v>3706</v>
      </c>
      <c r="I153" s="60"/>
      <c r="J153" s="233" t="s">
        <v>3053</v>
      </c>
      <c r="K153" s="60" t="s">
        <v>2752</v>
      </c>
      <c r="L153" s="230" t="s">
        <v>3707</v>
      </c>
      <c r="M153"/>
      <c r="N153" t="s">
        <v>3708</v>
      </c>
      <c r="O153" s="60">
        <v>494148</v>
      </c>
    </row>
    <row r="154" spans="1:15" s="1" customFormat="1">
      <c r="A154" s="60"/>
      <c r="B154" s="60" t="s">
        <v>3709</v>
      </c>
      <c r="C154" s="60"/>
      <c r="D154" s="60" t="s">
        <v>3710</v>
      </c>
      <c r="E154" s="60"/>
      <c r="F154" s="60"/>
      <c r="G154" s="60" t="s">
        <v>3711</v>
      </c>
      <c r="H154" s="60" t="s">
        <v>3712</v>
      </c>
      <c r="I154" s="60"/>
      <c r="J154" s="60" t="s">
        <v>3713</v>
      </c>
      <c r="K154" s="60" t="s">
        <v>2752</v>
      </c>
      <c r="L154" s="1" t="s">
        <v>3714</v>
      </c>
      <c r="M154" s="60"/>
      <c r="N154" t="s">
        <v>3715</v>
      </c>
      <c r="O154" s="60">
        <v>474887</v>
      </c>
    </row>
    <row r="155" spans="1:15" s="1" customFormat="1">
      <c r="A155" s="60"/>
      <c r="B155" s="60" t="s">
        <v>3716</v>
      </c>
      <c r="C155" s="60" t="s">
        <v>2788</v>
      </c>
      <c r="D155" s="60" t="s">
        <v>3717</v>
      </c>
      <c r="E155" s="60"/>
      <c r="F155" s="60"/>
      <c r="G155" s="60" t="s">
        <v>3718</v>
      </c>
      <c r="H155" s="60" t="s">
        <v>2944</v>
      </c>
      <c r="I155" s="60"/>
      <c r="J155" s="60" t="s">
        <v>3719</v>
      </c>
      <c r="K155" s="60" t="s">
        <v>2752</v>
      </c>
      <c r="L155" s="60" t="s">
        <v>3720</v>
      </c>
      <c r="M155" s="60" t="s">
        <v>2769</v>
      </c>
      <c r="N155" s="60" t="s">
        <v>2987</v>
      </c>
      <c r="O155" s="60">
        <v>79773</v>
      </c>
    </row>
    <row r="156" spans="1:15">
      <c r="A156" s="57"/>
      <c r="B156" s="57" t="s">
        <v>3598</v>
      </c>
      <c r="C156" s="57" t="s">
        <v>3097</v>
      </c>
      <c r="D156" s="57" t="s">
        <v>3721</v>
      </c>
      <c r="E156" s="57"/>
      <c r="F156" s="57"/>
      <c r="G156" s="57" t="s">
        <v>3722</v>
      </c>
      <c r="H156" s="57" t="s">
        <v>3723</v>
      </c>
      <c r="I156" s="57"/>
      <c r="J156" s="57" t="s">
        <v>3449</v>
      </c>
      <c r="K156" s="57" t="s">
        <v>2752</v>
      </c>
      <c r="L156" s="57" t="s">
        <v>3724</v>
      </c>
      <c r="M156" s="57"/>
      <c r="N156" t="s">
        <v>3725</v>
      </c>
      <c r="O156" s="57">
        <v>79461</v>
      </c>
    </row>
    <row r="157" spans="1:15">
      <c r="A157" s="57"/>
      <c r="B157" s="57" t="s">
        <v>3726</v>
      </c>
      <c r="C157" s="57" t="s">
        <v>2833</v>
      </c>
      <c r="D157" s="57" t="s">
        <v>3721</v>
      </c>
      <c r="E157" s="57"/>
      <c r="F157" s="57"/>
      <c r="G157" s="57" t="s">
        <v>3727</v>
      </c>
      <c r="H157" s="57" t="s">
        <v>3628</v>
      </c>
      <c r="I157" s="57"/>
      <c r="J157" s="57" t="s">
        <v>3629</v>
      </c>
      <c r="K157" s="57" t="s">
        <v>2821</v>
      </c>
      <c r="L157" s="57" t="s">
        <v>3728</v>
      </c>
      <c r="M157" s="57" t="s">
        <v>2769</v>
      </c>
      <c r="N157" s="243" t="s">
        <v>3729</v>
      </c>
      <c r="O157" s="57">
        <v>79716</v>
      </c>
    </row>
    <row r="158" spans="1:15">
      <c r="A158" s="57"/>
      <c r="B158" s="57" t="s">
        <v>3730</v>
      </c>
      <c r="C158" s="57" t="s">
        <v>3347</v>
      </c>
      <c r="D158" s="57" t="s">
        <v>3721</v>
      </c>
      <c r="E158" s="57"/>
      <c r="F158" s="57"/>
      <c r="G158" s="57" t="s">
        <v>3731</v>
      </c>
      <c r="H158" s="57" t="s">
        <v>3732</v>
      </c>
      <c r="I158" s="57"/>
      <c r="J158" s="57" t="s">
        <v>3733</v>
      </c>
      <c r="K158" s="57" t="s">
        <v>2752</v>
      </c>
      <c r="L158" s="58" t="s">
        <v>3734</v>
      </c>
      <c r="M158" s="57"/>
      <c r="N158" t="s">
        <v>3735</v>
      </c>
      <c r="O158" s="57">
        <v>168266</v>
      </c>
    </row>
    <row r="159" spans="1:15">
      <c r="A159" s="57"/>
      <c r="B159" s="57" t="s">
        <v>3736</v>
      </c>
      <c r="C159" s="57" t="s">
        <v>3737</v>
      </c>
      <c r="D159" s="57" t="s">
        <v>3738</v>
      </c>
      <c r="E159" s="57"/>
      <c r="F159" s="57"/>
      <c r="G159" s="57" t="s">
        <v>3739</v>
      </c>
      <c r="H159" s="57" t="s">
        <v>3740</v>
      </c>
      <c r="I159" s="57"/>
      <c r="J159" s="57" t="s">
        <v>2759</v>
      </c>
      <c r="K159" s="57" t="s">
        <v>2752</v>
      </c>
      <c r="L159" s="57" t="s">
        <v>3741</v>
      </c>
      <c r="M159" s="57"/>
      <c r="N159" t="s">
        <v>3742</v>
      </c>
      <c r="O159" s="57">
        <v>466045</v>
      </c>
    </row>
    <row r="160" spans="1:15">
      <c r="A160" s="57"/>
      <c r="B160" s="57" t="s">
        <v>3743</v>
      </c>
      <c r="C160" s="57"/>
      <c r="D160" s="57" t="s">
        <v>3744</v>
      </c>
      <c r="E160" s="57"/>
      <c r="F160" s="57"/>
      <c r="G160" s="57" t="s">
        <v>3745</v>
      </c>
      <c r="H160" s="57" t="s">
        <v>3746</v>
      </c>
      <c r="I160" s="57"/>
      <c r="J160" s="57" t="s">
        <v>3747</v>
      </c>
      <c r="K160" s="57" t="s">
        <v>2752</v>
      </c>
      <c r="L160" s="61" t="s">
        <v>3748</v>
      </c>
      <c r="M160" s="80"/>
      <c r="N160" t="s">
        <v>3749</v>
      </c>
      <c r="O160" s="57">
        <v>81782</v>
      </c>
    </row>
    <row r="161" spans="1:15">
      <c r="A161" s="57"/>
      <c r="B161" s="57" t="s">
        <v>3750</v>
      </c>
      <c r="C161" s="57"/>
      <c r="D161" s="57" t="s">
        <v>3751</v>
      </c>
      <c r="E161" s="57"/>
      <c r="F161" s="57"/>
      <c r="G161" s="57" t="s">
        <v>3752</v>
      </c>
      <c r="H161" s="57" t="s">
        <v>2858</v>
      </c>
      <c r="I161" s="57"/>
      <c r="J161" s="57" t="s">
        <v>2859</v>
      </c>
      <c r="K161" s="57" t="s">
        <v>2752</v>
      </c>
      <c r="L161" s="58" t="s">
        <v>3753</v>
      </c>
      <c r="N161" t="s">
        <v>3754</v>
      </c>
      <c r="O161" s="57">
        <v>510159</v>
      </c>
    </row>
    <row r="162" spans="1:15">
      <c r="A162" s="57"/>
      <c r="B162" s="57" t="s">
        <v>3755</v>
      </c>
      <c r="C162" s="57" t="s">
        <v>3756</v>
      </c>
      <c r="D162" s="57" t="s">
        <v>3757</v>
      </c>
      <c r="E162" s="57"/>
      <c r="F162" s="57"/>
      <c r="G162" s="57" t="s">
        <v>3758</v>
      </c>
      <c r="H162" s="57" t="s">
        <v>2858</v>
      </c>
      <c r="I162" s="57"/>
      <c r="J162" s="57" t="s">
        <v>3634</v>
      </c>
      <c r="K162" s="57" t="s">
        <v>2752</v>
      </c>
      <c r="L162" s="57" t="s">
        <v>3759</v>
      </c>
      <c r="M162" s="57" t="s">
        <v>2769</v>
      </c>
      <c r="N162" s="243" t="s">
        <v>3760</v>
      </c>
      <c r="O162" s="57">
        <v>216977</v>
      </c>
    </row>
    <row r="163" spans="1:15">
      <c r="A163" s="57"/>
      <c r="B163" s="57" t="s">
        <v>3761</v>
      </c>
      <c r="C163" s="57" t="s">
        <v>2788</v>
      </c>
      <c r="D163" s="57" t="s">
        <v>3762</v>
      </c>
      <c r="E163" s="57"/>
      <c r="F163" s="57"/>
      <c r="G163" s="57" t="s">
        <v>3763</v>
      </c>
      <c r="H163" s="57" t="s">
        <v>3764</v>
      </c>
      <c r="I163" s="57"/>
      <c r="J163" s="57" t="s">
        <v>3765</v>
      </c>
      <c r="K163" s="57" t="s">
        <v>2752</v>
      </c>
      <c r="L163" s="57" t="s">
        <v>3766</v>
      </c>
      <c r="M163" s="57"/>
      <c r="N163" t="s">
        <v>3767</v>
      </c>
      <c r="O163" s="57">
        <v>215206</v>
      </c>
    </row>
    <row r="164" spans="1:15">
      <c r="A164" s="57"/>
      <c r="B164" s="57" t="s">
        <v>3768</v>
      </c>
      <c r="C164" s="57"/>
      <c r="D164" s="57" t="s">
        <v>3762</v>
      </c>
      <c r="E164" s="57"/>
      <c r="F164" s="57"/>
      <c r="G164" s="57" t="s">
        <v>3769</v>
      </c>
      <c r="H164" s="57" t="s">
        <v>3770</v>
      </c>
      <c r="I164" s="57"/>
      <c r="J164" s="57" t="s">
        <v>3771</v>
      </c>
      <c r="K164" s="57" t="s">
        <v>2752</v>
      </c>
      <c r="L164" s="58" t="s">
        <v>3772</v>
      </c>
      <c r="M164" s="72"/>
      <c r="N164" t="s">
        <v>3773</v>
      </c>
      <c r="O164" s="57">
        <v>504268</v>
      </c>
    </row>
    <row r="165" spans="1:15">
      <c r="A165" s="57"/>
      <c r="B165" s="57" t="s">
        <v>3774</v>
      </c>
      <c r="C165" s="57" t="s">
        <v>2996</v>
      </c>
      <c r="D165" s="57" t="s">
        <v>3775</v>
      </c>
      <c r="E165" s="57"/>
      <c r="F165" s="57"/>
      <c r="G165" s="57" t="s">
        <v>3776</v>
      </c>
      <c r="H165" s="57" t="s">
        <v>3777</v>
      </c>
      <c r="I165" s="57"/>
      <c r="J165" s="57" t="s">
        <v>3416</v>
      </c>
      <c r="K165" s="57" t="s">
        <v>2752</v>
      </c>
      <c r="L165" s="57" t="s">
        <v>3778</v>
      </c>
      <c r="M165" s="57"/>
      <c r="N165" t="s">
        <v>3779</v>
      </c>
      <c r="O165" s="57">
        <v>483211</v>
      </c>
    </row>
    <row r="166" spans="1:15">
      <c r="A166" s="57"/>
      <c r="B166" s="57" t="s">
        <v>3780</v>
      </c>
      <c r="C166" s="57" t="s">
        <v>2855</v>
      </c>
      <c r="D166" s="57" t="s">
        <v>3781</v>
      </c>
      <c r="E166" s="57"/>
      <c r="F166" s="57"/>
      <c r="G166" s="57" t="s">
        <v>3782</v>
      </c>
      <c r="H166" s="57" t="s">
        <v>3783</v>
      </c>
      <c r="I166" s="57"/>
      <c r="J166" s="57" t="s">
        <v>3784</v>
      </c>
      <c r="K166" s="57" t="s">
        <v>2752</v>
      </c>
      <c r="L166" s="57" t="s">
        <v>3785</v>
      </c>
      <c r="M166" s="37"/>
      <c r="N166" t="s">
        <v>3786</v>
      </c>
      <c r="O166" s="57">
        <v>532891</v>
      </c>
    </row>
    <row r="167" spans="1:15" s="1" customFormat="1">
      <c r="A167" s="60"/>
      <c r="B167" s="60" t="s">
        <v>3787</v>
      </c>
      <c r="C167" s="60" t="s">
        <v>2780</v>
      </c>
      <c r="D167" s="60" t="s">
        <v>3788</v>
      </c>
      <c r="E167" s="60"/>
      <c r="F167" s="60"/>
      <c r="G167" s="60" t="s">
        <v>3789</v>
      </c>
      <c r="H167" s="60" t="s">
        <v>3790</v>
      </c>
      <c r="I167" s="60"/>
      <c r="J167" s="60" t="s">
        <v>3791</v>
      </c>
      <c r="K167" s="60" t="s">
        <v>3792</v>
      </c>
      <c r="L167" s="230" t="s">
        <v>3793</v>
      </c>
      <c r="M167" s="63"/>
      <c r="N167" t="s">
        <v>3794</v>
      </c>
      <c r="O167" s="60">
        <v>542486</v>
      </c>
    </row>
    <row r="168" spans="1:15" s="1" customFormat="1">
      <c r="A168" s="60"/>
      <c r="B168" s="60" t="s">
        <v>3795</v>
      </c>
      <c r="C168" s="60" t="s">
        <v>3097</v>
      </c>
      <c r="D168" s="60" t="s">
        <v>3796</v>
      </c>
      <c r="E168" s="60"/>
      <c r="F168" s="60"/>
      <c r="G168" s="60" t="s">
        <v>3797</v>
      </c>
      <c r="H168" s="60" t="s">
        <v>3798</v>
      </c>
      <c r="I168" s="60"/>
      <c r="J168" s="60" t="s">
        <v>3799</v>
      </c>
      <c r="K168" s="60" t="s">
        <v>2752</v>
      </c>
      <c r="L168" s="60" t="s">
        <v>3800</v>
      </c>
      <c r="M168" s="18"/>
      <c r="N168" t="s">
        <v>3801</v>
      </c>
      <c r="O168" s="60">
        <v>536076</v>
      </c>
    </row>
    <row r="169" spans="1:15" s="1" customFormat="1">
      <c r="A169" s="60"/>
      <c r="B169" s="60" t="s">
        <v>3315</v>
      </c>
      <c r="C169" s="60"/>
      <c r="D169" s="60" t="s">
        <v>3802</v>
      </c>
      <c r="E169" s="60"/>
      <c r="F169" s="60"/>
      <c r="G169" s="60"/>
      <c r="H169" s="60" t="s">
        <v>2797</v>
      </c>
      <c r="I169" s="60"/>
      <c r="J169" s="60"/>
      <c r="K169" s="60"/>
      <c r="L169" s="230" t="s">
        <v>3803</v>
      </c>
      <c r="M169" s="231"/>
      <c r="N169" t="s">
        <v>3804</v>
      </c>
      <c r="O169" s="60">
        <v>514867</v>
      </c>
    </row>
    <row r="170" spans="1:15" s="1" customFormat="1">
      <c r="A170" s="60"/>
      <c r="B170" s="60" t="s">
        <v>3805</v>
      </c>
      <c r="C170" s="60" t="s">
        <v>3806</v>
      </c>
      <c r="D170" s="60" t="s">
        <v>3807</v>
      </c>
      <c r="E170" s="60"/>
      <c r="F170" s="60"/>
      <c r="G170" s="60" t="s">
        <v>2877</v>
      </c>
      <c r="H170" s="60" t="s">
        <v>2878</v>
      </c>
      <c r="I170" s="60"/>
      <c r="J170" s="60" t="s">
        <v>3808</v>
      </c>
      <c r="K170" s="60" t="s">
        <v>2752</v>
      </c>
      <c r="L170" s="1" t="s">
        <v>3809</v>
      </c>
      <c r="M170" s="60" t="s">
        <v>3047</v>
      </c>
      <c r="N170" s="248" t="s">
        <v>2987</v>
      </c>
      <c r="O170" s="60">
        <v>211995</v>
      </c>
    </row>
    <row r="171" spans="1:15" s="1" customFormat="1">
      <c r="A171" s="60"/>
      <c r="B171" s="60" t="s">
        <v>3750</v>
      </c>
      <c r="C171" s="60"/>
      <c r="D171" s="60" t="s">
        <v>3807</v>
      </c>
      <c r="E171" s="60"/>
      <c r="F171" s="60"/>
      <c r="G171" s="60" t="s">
        <v>2877</v>
      </c>
      <c r="H171" s="60" t="s">
        <v>3810</v>
      </c>
      <c r="I171" s="60"/>
      <c r="J171" s="60" t="s">
        <v>3053</v>
      </c>
      <c r="K171" s="60" t="s">
        <v>2752</v>
      </c>
      <c r="L171" s="60" t="s">
        <v>3811</v>
      </c>
      <c r="M171" s="60" t="s">
        <v>2769</v>
      </c>
      <c r="N171" s="245" t="s">
        <v>2987</v>
      </c>
      <c r="O171" s="60">
        <v>337803</v>
      </c>
    </row>
    <row r="172" spans="1:15" s="1" customFormat="1">
      <c r="A172" s="60"/>
      <c r="B172" s="60" t="s">
        <v>3812</v>
      </c>
      <c r="C172" s="60" t="s">
        <v>3187</v>
      </c>
      <c r="D172" s="60" t="s">
        <v>3813</v>
      </c>
      <c r="E172" s="60"/>
      <c r="F172" s="60"/>
      <c r="G172" s="60" t="s">
        <v>3814</v>
      </c>
      <c r="H172" s="60" t="s">
        <v>3190</v>
      </c>
      <c r="I172" s="60"/>
      <c r="J172" s="60" t="s">
        <v>3815</v>
      </c>
      <c r="K172" s="60" t="s">
        <v>2752</v>
      </c>
      <c r="L172" s="60" t="s">
        <v>3816</v>
      </c>
      <c r="M172" s="60" t="s">
        <v>2769</v>
      </c>
      <c r="N172" s="245" t="s">
        <v>2987</v>
      </c>
      <c r="O172" s="60">
        <v>81242</v>
      </c>
    </row>
    <row r="173" spans="1:15" s="1" customFormat="1">
      <c r="A173" s="60"/>
      <c r="B173" s="60" t="s">
        <v>2771</v>
      </c>
      <c r="C173" s="60" t="s">
        <v>3817</v>
      </c>
      <c r="D173" s="60" t="s">
        <v>3818</v>
      </c>
      <c r="E173" s="60"/>
      <c r="F173" s="60"/>
      <c r="G173" s="60" t="s">
        <v>3819</v>
      </c>
      <c r="H173" s="60" t="s">
        <v>3401</v>
      </c>
      <c r="I173" s="60"/>
      <c r="J173" s="60" t="s">
        <v>3820</v>
      </c>
      <c r="K173" s="60" t="s">
        <v>2752</v>
      </c>
      <c r="L173" s="63" t="s">
        <v>3821</v>
      </c>
      <c r="M173"/>
      <c r="N173" t="s">
        <v>3822</v>
      </c>
      <c r="O173" s="60">
        <v>541087</v>
      </c>
    </row>
    <row r="174" spans="1:15">
      <c r="A174" s="57"/>
      <c r="B174" s="57" t="s">
        <v>3823</v>
      </c>
      <c r="C174" s="57" t="s">
        <v>3316</v>
      </c>
      <c r="D174" s="57" t="s">
        <v>3824</v>
      </c>
      <c r="E174" s="57"/>
      <c r="F174" s="57"/>
      <c r="G174" s="57" t="s">
        <v>3789</v>
      </c>
      <c r="H174" s="57" t="s">
        <v>3825</v>
      </c>
      <c r="I174" s="57"/>
      <c r="J174" s="57" t="s">
        <v>3826</v>
      </c>
      <c r="K174" s="57" t="s">
        <v>2938</v>
      </c>
      <c r="L174" s="57" t="s">
        <v>3827</v>
      </c>
      <c r="M174" s="79"/>
      <c r="N174" t="s">
        <v>3828</v>
      </c>
      <c r="O174" s="57">
        <v>166746</v>
      </c>
    </row>
    <row r="175" spans="1:15">
      <c r="A175" s="57"/>
      <c r="B175" s="57" t="s">
        <v>3829</v>
      </c>
      <c r="C175" s="57"/>
      <c r="D175" s="57" t="s">
        <v>3830</v>
      </c>
      <c r="E175" s="57"/>
      <c r="F175" s="57"/>
      <c r="G175" s="57" t="s">
        <v>3831</v>
      </c>
      <c r="H175" s="57" t="s">
        <v>3832</v>
      </c>
      <c r="I175" s="57"/>
      <c r="J175" s="57" t="s">
        <v>2872</v>
      </c>
      <c r="K175" s="57" t="s">
        <v>2821</v>
      </c>
      <c r="L175" s="58" t="s">
        <v>3833</v>
      </c>
      <c r="M175" s="72"/>
      <c r="N175" t="s">
        <v>3834</v>
      </c>
      <c r="O175" s="57">
        <v>508357</v>
      </c>
    </row>
    <row r="176" spans="1:15">
      <c r="A176" s="57"/>
      <c r="B176" s="57" t="s">
        <v>3835</v>
      </c>
      <c r="C176" s="57"/>
      <c r="D176" s="57" t="s">
        <v>3836</v>
      </c>
      <c r="E176" s="57"/>
      <c r="F176" s="57"/>
      <c r="G176" s="57" t="s">
        <v>3837</v>
      </c>
      <c r="H176" s="57" t="s">
        <v>3838</v>
      </c>
      <c r="I176" s="57"/>
      <c r="J176" s="57" t="s">
        <v>3839</v>
      </c>
      <c r="K176" s="57" t="s">
        <v>3840</v>
      </c>
      <c r="L176" s="61" t="s">
        <v>3841</v>
      </c>
      <c r="M176" s="80"/>
      <c r="N176" t="s">
        <v>3842</v>
      </c>
      <c r="O176" s="57">
        <v>541558</v>
      </c>
    </row>
    <row r="177" spans="1:18" ht="15" customHeight="1">
      <c r="A177" s="57"/>
      <c r="B177" s="57" t="s">
        <v>3102</v>
      </c>
      <c r="C177" s="57" t="s">
        <v>2756</v>
      </c>
      <c r="D177" s="57" t="s">
        <v>3843</v>
      </c>
      <c r="E177" s="57"/>
      <c r="F177" s="57"/>
      <c r="G177" s="57" t="s">
        <v>3844</v>
      </c>
      <c r="H177" s="57" t="s">
        <v>3845</v>
      </c>
      <c r="I177" s="57"/>
      <c r="J177" s="57" t="s">
        <v>3846</v>
      </c>
      <c r="K177" s="57" t="s">
        <v>2752</v>
      </c>
      <c r="L177" s="57" t="s">
        <v>3847</v>
      </c>
      <c r="M177" s="79"/>
      <c r="N177" t="s">
        <v>3848</v>
      </c>
      <c r="O177" s="57">
        <v>261372</v>
      </c>
    </row>
    <row r="178" spans="1:18">
      <c r="A178" s="57"/>
      <c r="B178" s="57" t="s">
        <v>3102</v>
      </c>
      <c r="C178" s="57" t="s">
        <v>2855</v>
      </c>
      <c r="D178" s="57" t="s">
        <v>3849</v>
      </c>
      <c r="E178" s="57"/>
      <c r="F178" s="57"/>
      <c r="G178" s="57" t="s">
        <v>3850</v>
      </c>
      <c r="H178" s="57" t="s">
        <v>3851</v>
      </c>
      <c r="I178" s="57"/>
      <c r="J178" s="57" t="s">
        <v>3852</v>
      </c>
      <c r="K178" s="57" t="s">
        <v>2752</v>
      </c>
      <c r="L178" s="57" t="s">
        <v>3853</v>
      </c>
      <c r="M178" s="57"/>
      <c r="N178" t="s">
        <v>3854</v>
      </c>
      <c r="O178" s="57">
        <v>467505</v>
      </c>
    </row>
    <row r="179" spans="1:18">
      <c r="A179" s="57"/>
      <c r="B179" s="57" t="s">
        <v>3855</v>
      </c>
      <c r="C179" s="57"/>
      <c r="D179" s="57" t="s">
        <v>3002</v>
      </c>
      <c r="E179" s="57"/>
      <c r="F179" s="57"/>
      <c r="G179" s="57" t="s">
        <v>3856</v>
      </c>
      <c r="H179" s="57" t="s">
        <v>3857</v>
      </c>
      <c r="I179" s="57"/>
      <c r="J179" s="57" t="s">
        <v>3858</v>
      </c>
      <c r="K179" s="57" t="s">
        <v>2752</v>
      </c>
      <c r="L179" s="61" t="s">
        <v>3859</v>
      </c>
      <c r="M179" s="57" t="s">
        <v>3860</v>
      </c>
      <c r="N179" s="247" t="s">
        <v>3861</v>
      </c>
      <c r="O179" s="57">
        <v>516139</v>
      </c>
    </row>
    <row r="180" spans="1:18">
      <c r="A180" s="57"/>
      <c r="B180" s="57" t="s">
        <v>3862</v>
      </c>
      <c r="C180" s="57" t="s">
        <v>2780</v>
      </c>
      <c r="D180" s="57" t="s">
        <v>3863</v>
      </c>
      <c r="E180" s="57"/>
      <c r="F180" s="57"/>
      <c r="G180" s="57" t="s">
        <v>3864</v>
      </c>
      <c r="H180" s="57" t="s">
        <v>3865</v>
      </c>
      <c r="I180" s="57"/>
      <c r="J180" s="78" t="s">
        <v>3866</v>
      </c>
      <c r="K180" s="57" t="s">
        <v>3867</v>
      </c>
      <c r="L180" s="57" t="s">
        <v>3868</v>
      </c>
      <c r="M180" s="57"/>
      <c r="N180" s="247" t="s">
        <v>2987</v>
      </c>
      <c r="O180" s="57">
        <v>475161</v>
      </c>
    </row>
    <row r="181" spans="1:18">
      <c r="A181" s="57"/>
      <c r="B181" s="57" t="s">
        <v>3135</v>
      </c>
      <c r="C181" s="57"/>
      <c r="D181" s="57" t="s">
        <v>3869</v>
      </c>
      <c r="E181" s="57"/>
      <c r="F181" s="57"/>
      <c r="G181" s="57" t="s">
        <v>3870</v>
      </c>
      <c r="H181" s="57" t="s">
        <v>3783</v>
      </c>
      <c r="I181" s="57"/>
      <c r="J181" s="57" t="s">
        <v>3871</v>
      </c>
      <c r="K181" s="57" t="s">
        <v>2752</v>
      </c>
      <c r="L181" s="58" t="s">
        <v>3872</v>
      </c>
      <c r="M181" s="72"/>
      <c r="N181" t="s">
        <v>3873</v>
      </c>
      <c r="O181" s="57">
        <v>538819</v>
      </c>
    </row>
    <row r="182" spans="1:18">
      <c r="A182" s="57"/>
      <c r="B182" s="57" t="s">
        <v>3874</v>
      </c>
      <c r="C182" s="57" t="s">
        <v>2747</v>
      </c>
      <c r="D182" s="57" t="s">
        <v>3875</v>
      </c>
      <c r="E182" s="57"/>
      <c r="F182" s="57"/>
      <c r="G182" s="57" t="s">
        <v>3876</v>
      </c>
      <c r="H182" s="57" t="s">
        <v>2944</v>
      </c>
      <c r="I182" s="57"/>
      <c r="J182" s="57" t="s">
        <v>3422</v>
      </c>
      <c r="K182" s="57" t="s">
        <v>2752</v>
      </c>
      <c r="L182" s="57" t="s">
        <v>3877</v>
      </c>
      <c r="M182" s="57" t="s">
        <v>2769</v>
      </c>
      <c r="N182" s="243" t="s">
        <v>3878</v>
      </c>
      <c r="O182" s="57">
        <v>505600</v>
      </c>
    </row>
    <row r="183" spans="1:18">
      <c r="A183" s="57"/>
      <c r="B183" s="57" t="s">
        <v>3879</v>
      </c>
      <c r="C183" s="57" t="s">
        <v>3880</v>
      </c>
      <c r="D183" s="57" t="s">
        <v>3875</v>
      </c>
      <c r="E183" s="57"/>
      <c r="F183" s="57"/>
      <c r="G183" s="57" t="s">
        <v>3881</v>
      </c>
      <c r="H183" s="57" t="s">
        <v>3882</v>
      </c>
      <c r="I183" s="57"/>
      <c r="J183" s="57" t="s">
        <v>3883</v>
      </c>
      <c r="K183" s="57" t="s">
        <v>2752</v>
      </c>
      <c r="L183" s="57" t="s">
        <v>3884</v>
      </c>
      <c r="M183" s="79"/>
      <c r="N183" t="s">
        <v>3885</v>
      </c>
      <c r="O183" s="57">
        <v>402515</v>
      </c>
    </row>
    <row r="184" spans="1:18">
      <c r="A184" s="57"/>
      <c r="B184" s="57" t="s">
        <v>3096</v>
      </c>
      <c r="C184" s="57" t="s">
        <v>2996</v>
      </c>
      <c r="D184" s="57" t="s">
        <v>3886</v>
      </c>
      <c r="E184" s="57"/>
      <c r="F184" s="57"/>
      <c r="G184" s="57" t="s">
        <v>3887</v>
      </c>
      <c r="H184" s="57" t="s">
        <v>3888</v>
      </c>
      <c r="I184" s="57"/>
      <c r="J184" s="57" t="s">
        <v>3889</v>
      </c>
      <c r="K184" s="57" t="s">
        <v>2752</v>
      </c>
      <c r="L184" s="57" t="s">
        <v>3890</v>
      </c>
      <c r="M184" s="57"/>
      <c r="N184" t="s">
        <v>3891</v>
      </c>
      <c r="O184" s="57">
        <v>402573</v>
      </c>
    </row>
    <row r="185" spans="1:18">
      <c r="A185" s="57"/>
      <c r="B185" s="57" t="s">
        <v>2809</v>
      </c>
      <c r="C185" s="57" t="s">
        <v>2891</v>
      </c>
      <c r="D185" s="57" t="s">
        <v>3892</v>
      </c>
      <c r="E185" s="57"/>
      <c r="F185" s="57"/>
      <c r="G185" s="57" t="s">
        <v>3893</v>
      </c>
      <c r="H185" s="57" t="s">
        <v>3894</v>
      </c>
      <c r="I185" s="57"/>
      <c r="J185" s="57" t="s">
        <v>3895</v>
      </c>
      <c r="K185" s="57" t="s">
        <v>2752</v>
      </c>
      <c r="L185" s="58" t="s">
        <v>3896</v>
      </c>
      <c r="M185" s="57" t="s">
        <v>3897</v>
      </c>
      <c r="N185" s="243" t="s">
        <v>3898</v>
      </c>
      <c r="O185" s="57">
        <v>503895</v>
      </c>
    </row>
    <row r="186" spans="1:18">
      <c r="A186" s="57"/>
      <c r="B186" s="57" t="s">
        <v>3899</v>
      </c>
      <c r="C186" s="57" t="s">
        <v>2891</v>
      </c>
      <c r="D186" s="57" t="s">
        <v>3900</v>
      </c>
      <c r="E186" s="57"/>
      <c r="F186" s="57"/>
      <c r="G186" s="57" t="s">
        <v>3901</v>
      </c>
      <c r="H186" s="57" t="s">
        <v>3902</v>
      </c>
      <c r="I186" s="57"/>
      <c r="J186" s="57" t="s">
        <v>3903</v>
      </c>
      <c r="K186" s="57" t="s">
        <v>2752</v>
      </c>
      <c r="L186" s="57" t="s">
        <v>3904</v>
      </c>
      <c r="M186" s="57"/>
      <c r="N186" t="s">
        <v>3905</v>
      </c>
      <c r="O186" s="57">
        <v>286824</v>
      </c>
    </row>
    <row r="187" spans="1:18">
      <c r="A187" s="57"/>
      <c r="B187" s="57" t="s">
        <v>3906</v>
      </c>
      <c r="C187" s="57" t="s">
        <v>2756</v>
      </c>
      <c r="D187" s="57" t="s">
        <v>3900</v>
      </c>
      <c r="E187" s="57"/>
      <c r="F187" s="57"/>
      <c r="G187" s="57" t="s">
        <v>3907</v>
      </c>
      <c r="H187" s="57" t="s">
        <v>2894</v>
      </c>
      <c r="I187" s="57"/>
      <c r="J187" s="57" t="s">
        <v>2895</v>
      </c>
      <c r="K187" s="57" t="s">
        <v>2752</v>
      </c>
      <c r="L187" s="57" t="s">
        <v>3908</v>
      </c>
      <c r="M187" s="79"/>
      <c r="N187" t="s">
        <v>3909</v>
      </c>
      <c r="O187" s="57">
        <v>514207</v>
      </c>
    </row>
    <row r="188" spans="1:18">
      <c r="A188" s="57"/>
      <c r="B188" s="57" t="s">
        <v>3910</v>
      </c>
      <c r="C188" s="57"/>
      <c r="D188" s="57" t="s">
        <v>3911</v>
      </c>
      <c r="E188" s="57"/>
      <c r="F188" s="57"/>
      <c r="G188" s="57" t="s">
        <v>3912</v>
      </c>
      <c r="H188" s="57" t="s">
        <v>3012</v>
      </c>
      <c r="I188" s="57"/>
      <c r="J188" s="57" t="s">
        <v>3913</v>
      </c>
      <c r="K188" s="57" t="s">
        <v>2752</v>
      </c>
      <c r="L188" s="61" t="s">
        <v>3914</v>
      </c>
      <c r="M188" s="80"/>
      <c r="N188" t="s">
        <v>3915</v>
      </c>
      <c r="O188" s="57">
        <v>489287</v>
      </c>
    </row>
    <row r="189" spans="1:18">
      <c r="A189" s="57"/>
      <c r="B189" s="57" t="s">
        <v>3916</v>
      </c>
      <c r="C189" s="57" t="s">
        <v>2763</v>
      </c>
      <c r="D189" s="57" t="s">
        <v>3917</v>
      </c>
      <c r="E189" s="57"/>
      <c r="F189" s="57"/>
      <c r="G189" s="57" t="s">
        <v>3918</v>
      </c>
      <c r="H189" s="57" t="s">
        <v>2858</v>
      </c>
      <c r="I189" s="57"/>
      <c r="J189" s="57" t="s">
        <v>2859</v>
      </c>
      <c r="K189" s="57" t="s">
        <v>2752</v>
      </c>
      <c r="L189" s="57" t="s">
        <v>3919</v>
      </c>
      <c r="M189" s="57" t="s">
        <v>3897</v>
      </c>
      <c r="N189" s="243" t="s">
        <v>3920</v>
      </c>
      <c r="O189" s="57">
        <v>487422</v>
      </c>
    </row>
    <row r="190" spans="1:18">
      <c r="A190" s="57"/>
      <c r="B190" s="57" t="s">
        <v>3921</v>
      </c>
      <c r="C190" s="57" t="s">
        <v>2841</v>
      </c>
      <c r="D190" s="57" t="s">
        <v>3922</v>
      </c>
      <c r="E190" s="57"/>
      <c r="F190" s="57"/>
      <c r="G190" s="57" t="s">
        <v>3789</v>
      </c>
      <c r="H190" s="57" t="s">
        <v>3923</v>
      </c>
      <c r="I190" s="57"/>
      <c r="J190" s="57" t="s">
        <v>3924</v>
      </c>
      <c r="K190" s="57" t="s">
        <v>2938</v>
      </c>
      <c r="L190" s="57" t="s">
        <v>3925</v>
      </c>
      <c r="M190" s="79"/>
      <c r="N190" t="s">
        <v>3926</v>
      </c>
      <c r="O190" s="57">
        <v>408502</v>
      </c>
    </row>
    <row r="191" spans="1:18" s="1" customFormat="1">
      <c r="A191" s="60"/>
      <c r="B191" s="60" t="s">
        <v>3927</v>
      </c>
      <c r="C191" s="60" t="s">
        <v>2825</v>
      </c>
      <c r="D191" s="60" t="s">
        <v>3922</v>
      </c>
      <c r="E191" s="60"/>
      <c r="F191" s="60"/>
      <c r="G191" s="60" t="s">
        <v>3928</v>
      </c>
      <c r="H191" s="60" t="s">
        <v>3031</v>
      </c>
      <c r="I191" s="60"/>
      <c r="J191" s="60" t="s">
        <v>3139</v>
      </c>
      <c r="K191" s="60" t="s">
        <v>2752</v>
      </c>
      <c r="L191" s="230" t="s">
        <v>3929</v>
      </c>
      <c r="M191" s="60"/>
      <c r="N191" t="s">
        <v>3930</v>
      </c>
      <c r="O191" s="60">
        <v>501440</v>
      </c>
      <c r="R191" s="63"/>
    </row>
    <row r="192" spans="1:18">
      <c r="A192" s="57"/>
      <c r="B192" s="57" t="s">
        <v>3364</v>
      </c>
      <c r="C192" s="57" t="s">
        <v>2855</v>
      </c>
      <c r="D192" s="57" t="s">
        <v>3931</v>
      </c>
      <c r="E192" s="57"/>
      <c r="F192" s="57"/>
      <c r="G192" s="57" t="s">
        <v>3932</v>
      </c>
      <c r="H192" s="57" t="s">
        <v>3933</v>
      </c>
      <c r="I192" s="57"/>
      <c r="J192" s="57" t="s">
        <v>2895</v>
      </c>
      <c r="K192" s="57" t="s">
        <v>2752</v>
      </c>
      <c r="L192" s="57" t="s">
        <v>3934</v>
      </c>
      <c r="M192" s="57"/>
      <c r="N192" t="s">
        <v>3935</v>
      </c>
      <c r="O192" s="57">
        <v>79672</v>
      </c>
    </row>
    <row r="193" spans="1:15">
      <c r="A193" s="57"/>
      <c r="B193" s="57" t="s">
        <v>3936</v>
      </c>
      <c r="C193" s="57" t="s">
        <v>3049</v>
      </c>
      <c r="D193" s="57" t="s">
        <v>3931</v>
      </c>
      <c r="E193" s="57"/>
      <c r="F193" s="57"/>
      <c r="G193" s="57" t="s">
        <v>3937</v>
      </c>
      <c r="H193" s="57" t="s">
        <v>3938</v>
      </c>
      <c r="I193" s="57"/>
      <c r="J193" s="57" t="s">
        <v>3939</v>
      </c>
      <c r="K193" s="57" t="s">
        <v>2752</v>
      </c>
      <c r="L193" s="57" t="s">
        <v>3940</v>
      </c>
      <c r="M193" s="57"/>
      <c r="N193" t="s">
        <v>3941</v>
      </c>
      <c r="O193" s="57">
        <v>487650</v>
      </c>
    </row>
    <row r="194" spans="1:15">
      <c r="A194" s="57"/>
      <c r="B194" s="57" t="s">
        <v>3812</v>
      </c>
      <c r="C194" s="57" t="s">
        <v>3942</v>
      </c>
      <c r="D194" s="57" t="s">
        <v>2875</v>
      </c>
      <c r="E194" s="57"/>
      <c r="F194" s="57"/>
      <c r="G194" s="57" t="s">
        <v>3943</v>
      </c>
      <c r="H194" s="57" t="s">
        <v>3190</v>
      </c>
      <c r="I194" s="57"/>
      <c r="J194" s="57" t="s">
        <v>3115</v>
      </c>
      <c r="K194" s="57" t="s">
        <v>2752</v>
      </c>
      <c r="L194" s="57" t="s">
        <v>3944</v>
      </c>
      <c r="M194" s="37"/>
      <c r="N194" t="s">
        <v>3945</v>
      </c>
      <c r="O194" s="57">
        <v>495427</v>
      </c>
    </row>
    <row r="195" spans="1:15">
      <c r="A195" s="57"/>
      <c r="B195" s="57" t="s">
        <v>3946</v>
      </c>
      <c r="C195" s="57" t="s">
        <v>3947</v>
      </c>
      <c r="D195" s="57" t="s">
        <v>2875</v>
      </c>
      <c r="E195" s="57"/>
      <c r="F195" s="57"/>
      <c r="G195" s="57" t="s">
        <v>3948</v>
      </c>
      <c r="H195" s="57" t="s">
        <v>3949</v>
      </c>
      <c r="I195" s="57"/>
      <c r="J195" s="57" t="s">
        <v>3950</v>
      </c>
      <c r="K195" s="57" t="s">
        <v>2752</v>
      </c>
      <c r="L195" s="57" t="s">
        <v>3951</v>
      </c>
      <c r="M195" s="79"/>
      <c r="N195" t="s">
        <v>3952</v>
      </c>
      <c r="O195" s="57">
        <v>540699</v>
      </c>
    </row>
    <row r="196" spans="1:15">
      <c r="A196" s="57"/>
      <c r="B196" s="57" t="s">
        <v>3953</v>
      </c>
      <c r="C196" s="57" t="s">
        <v>3347</v>
      </c>
      <c r="D196" s="57" t="s">
        <v>3954</v>
      </c>
      <c r="E196" s="57"/>
      <c r="F196" s="57"/>
      <c r="G196" s="57" t="s">
        <v>3955</v>
      </c>
      <c r="H196" s="57" t="s">
        <v>3031</v>
      </c>
      <c r="I196" s="57"/>
      <c r="J196" s="57" t="s">
        <v>3139</v>
      </c>
      <c r="K196" s="57" t="s">
        <v>2752</v>
      </c>
      <c r="L196" s="57" t="s">
        <v>3956</v>
      </c>
      <c r="M196" s="57" t="s">
        <v>3957</v>
      </c>
      <c r="N196" s="243" t="s">
        <v>3958</v>
      </c>
      <c r="O196" s="57">
        <v>81525</v>
      </c>
    </row>
    <row r="197" spans="1:15">
      <c r="A197" s="57"/>
      <c r="B197" s="57" t="s">
        <v>2771</v>
      </c>
      <c r="C197" s="57" t="s">
        <v>2788</v>
      </c>
      <c r="D197" s="57" t="s">
        <v>3959</v>
      </c>
      <c r="E197" s="57" t="s">
        <v>3960</v>
      </c>
      <c r="F197" s="57"/>
      <c r="G197" s="57" t="s">
        <v>3961</v>
      </c>
      <c r="H197" s="57" t="s">
        <v>3190</v>
      </c>
      <c r="I197" s="57"/>
      <c r="J197" s="57" t="s">
        <v>3962</v>
      </c>
      <c r="K197" s="57" t="s">
        <v>2752</v>
      </c>
      <c r="L197" s="57" t="s">
        <v>3963</v>
      </c>
      <c r="M197" s="57" t="s">
        <v>3384</v>
      </c>
      <c r="N197" s="249" t="s">
        <v>2987</v>
      </c>
      <c r="O197" s="57">
        <v>80301</v>
      </c>
    </row>
    <row r="198" spans="1:15">
      <c r="A198" s="57"/>
      <c r="B198" s="57" t="s">
        <v>3964</v>
      </c>
      <c r="C198" s="57"/>
      <c r="D198" s="57" t="s">
        <v>3965</v>
      </c>
      <c r="E198" s="57"/>
      <c r="F198" s="57"/>
      <c r="G198" s="57"/>
      <c r="H198" s="57" t="s">
        <v>3966</v>
      </c>
      <c r="I198" s="57"/>
      <c r="J198" s="57" t="s">
        <v>3504</v>
      </c>
      <c r="K198" s="57" t="s">
        <v>2887</v>
      </c>
      <c r="L198" s="61" t="s">
        <v>3967</v>
      </c>
      <c r="M198" s="79"/>
      <c r="N198" s="250" t="s">
        <v>3968</v>
      </c>
      <c r="O198" s="199">
        <v>551146</v>
      </c>
    </row>
    <row r="199" spans="1:15">
      <c r="A199" s="57"/>
      <c r="B199" s="57" t="s">
        <v>3075</v>
      </c>
      <c r="C199" s="57" t="s">
        <v>2810</v>
      </c>
      <c r="D199" s="57" t="s">
        <v>3969</v>
      </c>
      <c r="E199" s="57"/>
      <c r="F199" s="57"/>
      <c r="G199" s="57" t="s">
        <v>3970</v>
      </c>
      <c r="H199" s="60" t="s">
        <v>3971</v>
      </c>
      <c r="I199" s="57"/>
      <c r="J199" s="57" t="s">
        <v>3197</v>
      </c>
      <c r="K199" s="57" t="s">
        <v>2821</v>
      </c>
      <c r="L199" s="57" t="s">
        <v>3972</v>
      </c>
      <c r="M199" s="37"/>
      <c r="N199" t="s">
        <v>3973</v>
      </c>
      <c r="O199" s="57">
        <v>79487</v>
      </c>
    </row>
    <row r="200" spans="1:15">
      <c r="A200" s="57"/>
      <c r="B200" s="57" t="s">
        <v>3002</v>
      </c>
      <c r="C200" s="57" t="s">
        <v>2841</v>
      </c>
      <c r="D200" s="57" t="s">
        <v>3974</v>
      </c>
      <c r="E200" s="57"/>
      <c r="F200" s="57"/>
      <c r="G200" s="57" t="s">
        <v>3975</v>
      </c>
      <c r="H200" s="57" t="s">
        <v>3976</v>
      </c>
      <c r="I200" s="57"/>
      <c r="J200" s="57" t="s">
        <v>3562</v>
      </c>
      <c r="K200" s="57" t="s">
        <v>2752</v>
      </c>
      <c r="L200" s="57" t="s">
        <v>3977</v>
      </c>
      <c r="M200" s="57"/>
      <c r="N200" t="s">
        <v>2987</v>
      </c>
      <c r="O200" s="57">
        <v>535816</v>
      </c>
    </row>
    <row r="201" spans="1:15">
      <c r="A201" s="57"/>
      <c r="B201" s="57" t="s">
        <v>3978</v>
      </c>
      <c r="C201" s="57" t="s">
        <v>2891</v>
      </c>
      <c r="D201" s="57" t="s">
        <v>3979</v>
      </c>
      <c r="E201" s="57"/>
      <c r="F201" s="57"/>
      <c r="G201" s="57" t="s">
        <v>3980</v>
      </c>
      <c r="H201" s="57" t="s">
        <v>2894</v>
      </c>
      <c r="I201" s="57"/>
      <c r="J201" s="57" t="s">
        <v>2895</v>
      </c>
      <c r="K201" s="57" t="s">
        <v>2752</v>
      </c>
      <c r="L201" s="57" t="s">
        <v>3981</v>
      </c>
      <c r="M201" s="79"/>
      <c r="N201" t="s">
        <v>3982</v>
      </c>
      <c r="O201" s="57">
        <v>511265</v>
      </c>
    </row>
    <row r="202" spans="1:15">
      <c r="A202" s="57"/>
      <c r="B202" s="57" t="s">
        <v>3644</v>
      </c>
      <c r="C202" s="57"/>
      <c r="D202" s="57" t="s">
        <v>3983</v>
      </c>
      <c r="E202" s="57"/>
      <c r="F202" s="57"/>
      <c r="G202" s="57"/>
      <c r="H202" s="60" t="s">
        <v>3082</v>
      </c>
      <c r="I202" s="57"/>
      <c r="J202" s="57" t="s">
        <v>3490</v>
      </c>
      <c r="K202" s="57" t="s">
        <v>2938</v>
      </c>
      <c r="L202" s="58" t="s">
        <v>3984</v>
      </c>
      <c r="M202" s="72"/>
      <c r="N202" t="s">
        <v>3985</v>
      </c>
      <c r="O202" s="57">
        <v>540707</v>
      </c>
    </row>
    <row r="203" spans="1:15">
      <c r="A203" s="57"/>
      <c r="B203" s="57" t="s">
        <v>3986</v>
      </c>
      <c r="C203" s="57" t="s">
        <v>2780</v>
      </c>
      <c r="D203" s="57" t="s">
        <v>3987</v>
      </c>
      <c r="E203" s="57"/>
      <c r="F203" s="57"/>
      <c r="G203" s="57" t="s">
        <v>3988</v>
      </c>
      <c r="H203" s="57" t="s">
        <v>3989</v>
      </c>
      <c r="I203" s="57"/>
      <c r="J203" s="57" t="s">
        <v>3355</v>
      </c>
      <c r="K203" s="57" t="s">
        <v>2752</v>
      </c>
      <c r="L203" s="57" t="s">
        <v>3990</v>
      </c>
      <c r="M203" s="57"/>
      <c r="N203" t="s">
        <v>3991</v>
      </c>
      <c r="O203" s="57">
        <v>336841</v>
      </c>
    </row>
    <row r="204" spans="1:15" s="1" customFormat="1">
      <c r="B204" s="60" t="s">
        <v>3992</v>
      </c>
      <c r="C204" s="60" t="s">
        <v>3993</v>
      </c>
      <c r="D204" s="60" t="s">
        <v>3994</v>
      </c>
      <c r="E204" s="60"/>
      <c r="F204" s="60"/>
      <c r="G204" s="60" t="s">
        <v>3995</v>
      </c>
      <c r="H204" s="60" t="s">
        <v>3996</v>
      </c>
      <c r="I204" s="60"/>
      <c r="J204" s="60" t="s">
        <v>3997</v>
      </c>
      <c r="K204" s="60" t="s">
        <v>2752</v>
      </c>
      <c r="L204" s="230" t="s">
        <v>3998</v>
      </c>
      <c r="M204" s="60"/>
      <c r="N204" t="s">
        <v>3999</v>
      </c>
      <c r="O204" s="60">
        <v>544382</v>
      </c>
    </row>
    <row r="205" spans="1:15" s="1" customFormat="1">
      <c r="B205" s="60" t="s">
        <v>4000</v>
      </c>
      <c r="C205" s="60" t="s">
        <v>4001</v>
      </c>
      <c r="D205" s="60" t="s">
        <v>4002</v>
      </c>
      <c r="E205" s="60"/>
      <c r="F205" s="60"/>
      <c r="G205" s="60" t="s">
        <v>3995</v>
      </c>
      <c r="H205" s="60" t="s">
        <v>4003</v>
      </c>
      <c r="I205" s="60"/>
      <c r="J205" s="60" t="s">
        <v>3997</v>
      </c>
      <c r="K205" s="60" t="s">
        <v>2887</v>
      </c>
      <c r="L205" s="230" t="s">
        <v>4004</v>
      </c>
      <c r="M205" s="60"/>
      <c r="N205" t="s">
        <v>4005</v>
      </c>
      <c r="O205" s="60">
        <v>492216</v>
      </c>
    </row>
    <row r="206" spans="1:15">
      <c r="A206" s="57"/>
      <c r="B206" s="57" t="s">
        <v>4006</v>
      </c>
      <c r="C206" s="57" t="s">
        <v>2996</v>
      </c>
      <c r="D206" s="57" t="s">
        <v>3994</v>
      </c>
      <c r="E206" s="57"/>
      <c r="F206" s="57"/>
      <c r="G206" s="57" t="s">
        <v>2877</v>
      </c>
      <c r="H206" s="57" t="s">
        <v>2878</v>
      </c>
      <c r="I206" s="57"/>
      <c r="J206" s="57" t="s">
        <v>3197</v>
      </c>
      <c r="K206" s="57" t="s">
        <v>2821</v>
      </c>
      <c r="L206" s="57" t="s">
        <v>4007</v>
      </c>
      <c r="M206" s="57" t="s">
        <v>3047</v>
      </c>
      <c r="N206" s="243" t="s">
        <v>2987</v>
      </c>
      <c r="O206" s="57">
        <v>527855</v>
      </c>
    </row>
    <row r="207" spans="1:15">
      <c r="A207" s="57"/>
      <c r="B207" s="57" t="s">
        <v>3315</v>
      </c>
      <c r="C207" s="57" t="s">
        <v>2855</v>
      </c>
      <c r="D207" s="57" t="s">
        <v>4008</v>
      </c>
      <c r="E207" s="57"/>
      <c r="F207" s="57"/>
      <c r="G207" s="57" t="s">
        <v>4009</v>
      </c>
      <c r="H207" s="57" t="s">
        <v>4010</v>
      </c>
      <c r="I207" s="57"/>
      <c r="J207" s="57" t="s">
        <v>3006</v>
      </c>
      <c r="K207" s="57" t="s">
        <v>2752</v>
      </c>
      <c r="L207" s="57" t="s">
        <v>4011</v>
      </c>
      <c r="M207" s="57" t="s">
        <v>2769</v>
      </c>
      <c r="N207" s="249" t="s">
        <v>4012</v>
      </c>
      <c r="O207" s="57">
        <v>533916</v>
      </c>
    </row>
    <row r="208" spans="1:15">
      <c r="A208" s="57"/>
      <c r="B208" s="78" t="s">
        <v>3534</v>
      </c>
      <c r="C208" s="57"/>
      <c r="D208" s="57" t="s">
        <v>4013</v>
      </c>
      <c r="E208" s="57"/>
      <c r="F208" s="57"/>
      <c r="G208" s="57" t="s">
        <v>4014</v>
      </c>
      <c r="H208" s="60" t="s">
        <v>4015</v>
      </c>
      <c r="I208" s="57"/>
      <c r="J208" s="57" t="s">
        <v>3442</v>
      </c>
      <c r="K208" s="57" t="s">
        <v>2752</v>
      </c>
      <c r="L208" s="61" t="s">
        <v>4016</v>
      </c>
      <c r="M208" s="80"/>
      <c r="N208" t="s">
        <v>4017</v>
      </c>
      <c r="O208" s="57">
        <v>467070</v>
      </c>
    </row>
    <row r="209" spans="1:15">
      <c r="A209" s="57"/>
      <c r="B209" s="57" t="s">
        <v>4018</v>
      </c>
      <c r="C209" s="57" t="s">
        <v>2780</v>
      </c>
      <c r="D209" s="57" t="s">
        <v>4019</v>
      </c>
      <c r="E209" s="57"/>
      <c r="F209" s="57"/>
      <c r="G209" s="57" t="s">
        <v>4020</v>
      </c>
      <c r="H209" s="57" t="s">
        <v>4021</v>
      </c>
      <c r="I209" s="57"/>
      <c r="J209" s="57" t="s">
        <v>3747</v>
      </c>
      <c r="K209" s="57" t="s">
        <v>2752</v>
      </c>
      <c r="L209" s="57" t="s">
        <v>4022</v>
      </c>
      <c r="M209" s="79"/>
      <c r="N209" t="s">
        <v>4023</v>
      </c>
      <c r="O209" s="57">
        <v>541686</v>
      </c>
    </row>
    <row r="210" spans="1:15">
      <c r="A210" s="57"/>
      <c r="B210" s="57" t="s">
        <v>3215</v>
      </c>
      <c r="C210" s="57" t="s">
        <v>2833</v>
      </c>
      <c r="D210" s="57" t="s">
        <v>4024</v>
      </c>
      <c r="E210" s="57"/>
      <c r="F210" s="57"/>
      <c r="G210" s="57" t="s">
        <v>4025</v>
      </c>
      <c r="H210" s="57" t="s">
        <v>4026</v>
      </c>
      <c r="I210" s="57"/>
      <c r="J210" s="57" t="s">
        <v>3233</v>
      </c>
      <c r="K210" s="57" t="s">
        <v>2938</v>
      </c>
      <c r="L210" s="57" t="s">
        <v>4027</v>
      </c>
      <c r="M210" s="57"/>
      <c r="N210" t="s">
        <v>4028</v>
      </c>
      <c r="O210" s="57">
        <v>502991</v>
      </c>
    </row>
    <row r="211" spans="1:15">
      <c r="A211" s="57"/>
      <c r="B211" s="57" t="s">
        <v>4029</v>
      </c>
      <c r="C211" s="57" t="s">
        <v>2780</v>
      </c>
      <c r="D211" s="57" t="s">
        <v>4030</v>
      </c>
      <c r="E211" s="57"/>
      <c r="F211" s="57"/>
      <c r="G211" s="57" t="s">
        <v>4031</v>
      </c>
      <c r="H211" s="57" t="s">
        <v>2901</v>
      </c>
      <c r="I211" s="57"/>
      <c r="J211" s="57" t="s">
        <v>3367</v>
      </c>
      <c r="K211" s="57" t="s">
        <v>2821</v>
      </c>
      <c r="L211" s="57" t="s">
        <v>4032</v>
      </c>
      <c r="M211" s="57"/>
      <c r="N211" t="s">
        <v>4033</v>
      </c>
      <c r="O211" s="57">
        <v>536062</v>
      </c>
    </row>
    <row r="212" spans="1:15">
      <c r="A212" s="57"/>
      <c r="B212" s="57"/>
      <c r="C212" s="57"/>
      <c r="D212" s="57"/>
      <c r="E212" s="57"/>
      <c r="F212" s="57"/>
      <c r="G212" s="57"/>
      <c r="H212" s="57"/>
      <c r="I212" s="57"/>
      <c r="J212" s="57"/>
      <c r="K212" s="57"/>
      <c r="L212" s="57"/>
      <c r="M212" s="57"/>
      <c r="N212" s="243" t="s">
        <v>50</v>
      </c>
      <c r="O212" s="57"/>
    </row>
    <row r="213" spans="1:15">
      <c r="A213" s="57"/>
      <c r="B213" s="57"/>
      <c r="C213" s="57"/>
      <c r="D213" s="57"/>
      <c r="E213" s="57"/>
      <c r="F213" s="57"/>
      <c r="G213" s="57"/>
      <c r="H213" s="57"/>
      <c r="I213" s="57"/>
      <c r="J213" s="57"/>
      <c r="K213" s="57"/>
      <c r="L213" s="57"/>
      <c r="M213" s="57"/>
      <c r="N213" s="249" t="s">
        <v>50</v>
      </c>
      <c r="O213" s="57"/>
    </row>
    <row r="214" spans="1:15">
      <c r="B214" s="57"/>
      <c r="N214" s="249" t="s">
        <v>50</v>
      </c>
    </row>
  </sheetData>
  <autoFilter ref="A1:O214" xr:uid="{32193D78-A29F-4B42-BE5F-B70DF196AF68}"/>
  <hyperlinks>
    <hyperlink ref="L56" r:id="rId1" xr:uid="{F03691C5-459B-48C4-98AF-29A57DB50776}"/>
    <hyperlink ref="L29" r:id="rId2" xr:uid="{CCD68113-D09D-40BE-904E-544E7E712B9B}"/>
    <hyperlink ref="L65" r:id="rId3" xr:uid="{06524D5C-D9F7-47A5-BF24-1CC5EB3B060A}"/>
    <hyperlink ref="L102" r:id="rId4" xr:uid="{A36454A0-227D-45E8-B76E-21EF26AD9BC6}"/>
    <hyperlink ref="L129" r:id="rId5" xr:uid="{4A551F6A-99D1-4A76-923C-EA65C7F5BE25}"/>
    <hyperlink ref="L135" r:id="rId6" xr:uid="{CD8325E7-0CFD-4A18-9F69-4C227D520E2A}"/>
    <hyperlink ref="L133" r:id="rId7" xr:uid="{CFE9F86A-776E-4374-97F7-01858E7B86AC}"/>
    <hyperlink ref="L142" r:id="rId8" xr:uid="{3AF0ACDA-7723-4123-84DC-A7544574F601}"/>
    <hyperlink ref="L160" r:id="rId9" xr:uid="{E5ACFCAD-A640-4F56-89C8-0291129B1D9E}"/>
    <hyperlink ref="L169" r:id="rId10" xr:uid="{E6DD8383-9425-4124-BE69-4A1AA0AA79F3}"/>
    <hyperlink ref="L176" r:id="rId11" xr:uid="{6B944F44-F096-43E3-AB63-C2C3D50FBD76}"/>
    <hyperlink ref="L188" r:id="rId12" xr:uid="{4B9C4D74-9949-43E1-900B-A7421942F5B7}"/>
    <hyperlink ref="L208" r:id="rId13" xr:uid="{FFD83FEE-1E3E-4158-B4E3-1BC8101ED9F6}"/>
    <hyperlink ref="L47" r:id="rId14" xr:uid="{B5F31592-775A-4EF8-9188-E05400F87AE5}"/>
    <hyperlink ref="L51" r:id="rId15" xr:uid="{DB7B51D7-5948-48F1-B2FA-85ACE44BC3EA}"/>
    <hyperlink ref="L35" r:id="rId16" xr:uid="{0703AE65-C545-4D2C-8432-051D6560241A}"/>
    <hyperlink ref="L179" r:id="rId17" xr:uid="{9129BEE9-98F6-472B-A56E-F9A208464EEC}"/>
    <hyperlink ref="L124" r:id="rId18" xr:uid="{6D6358FC-889F-4C7D-85DB-180E104CB1A4}"/>
    <hyperlink ref="L12" r:id="rId19" xr:uid="{2DF20E60-F1D2-4EBA-81F6-FF74D1465EA5}"/>
    <hyperlink ref="L191" r:id="rId20" xr:uid="{5DE24475-2D8F-4E8E-BDD5-A37AB4C893F1}"/>
    <hyperlink ref="L39" r:id="rId21" xr:uid="{42DA75BC-4C61-4B78-A0F1-324212FDBB88}"/>
    <hyperlink ref="L173" r:id="rId22" xr:uid="{B3DB2CE3-0FB3-401B-BF45-A69051F28F10}"/>
    <hyperlink ref="L167" r:id="rId23" xr:uid="{97A033C0-F534-46FF-9399-820654ECDF55}"/>
    <hyperlink ref="L45" r:id="rId24" xr:uid="{2E0BCA44-1FFB-4F2A-A54C-D318986D511B}"/>
    <hyperlink ref="L137" r:id="rId25" xr:uid="{D8D48CC6-AE99-40B8-BE0D-D4A64855E118}"/>
    <hyperlink ref="L153" r:id="rId26" xr:uid="{D8E83E94-AB80-4176-8043-59D9128E8BA7}"/>
    <hyperlink ref="L204" r:id="rId27" xr:uid="{593FE12C-8E82-49C5-A36C-5EA98DF91909}"/>
    <hyperlink ref="L205" r:id="rId28" xr:uid="{E5FA82AE-51F8-45A7-9D1E-98C02ABDA7B9}"/>
    <hyperlink ref="L122" r:id="rId29" xr:uid="{8B0047D1-47B4-40EA-82A9-F1D2F7869D20}"/>
    <hyperlink ref="L24" r:id="rId30" xr:uid="{46A05DA3-5FDD-44BE-A189-A12BE87D2166}"/>
    <hyperlink ref="L63" r:id="rId31" xr:uid="{10708B45-9FEC-471D-AE51-6E8864568DA8}"/>
    <hyperlink ref="N4" r:id="rId32" display="https://richmondcc.edu/sites/default/files/public/Directory_Photos/" xr:uid="{11F3CA60-AE47-40A7-A7D6-35866E50A58E}"/>
    <hyperlink ref="N49" r:id="rId33" xr:uid="{3155D18C-C60E-4299-8EB6-287B1A6D240C}"/>
    <hyperlink ref="N93" r:id="rId34" display="https://richmondcc.edu/sites/default/files/public/Directory_Photos/" xr:uid="{ADE346C8-B8E8-4701-A2BD-B67FF760F983}"/>
    <hyperlink ref="L198" r:id="rId35" xr:uid="{A787BD50-CF2E-4E13-9955-BEB9978637CA}"/>
    <hyperlink ref="L33" r:id="rId36" xr:uid="{B4523C88-A1B0-46A3-A4A4-AA8EB0001439}"/>
    <hyperlink ref="L62" r:id="rId37" xr:uid="{12C2990C-EB3B-493C-9FFB-82C263BCF051}"/>
    <hyperlink ref="L64" r:id="rId38" xr:uid="{F01955EB-8ABC-46DE-A84B-48A641F76390}"/>
    <hyperlink ref="L97" r:id="rId39" xr:uid="{96DD81E5-063E-4956-A37C-A2DCD648E5BC}"/>
  </hyperlinks>
  <pageMargins left="0.7" right="0.7" top="0.75" bottom="0.75" header="0.3" footer="0.3"/>
  <pageSetup paperSize="5" fitToWidth="0" fitToHeight="0" orientation="portrait" r:id="rId4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BEC18-60FA-4EC8-8E65-AD1F52424591}">
  <dimension ref="A1:C46"/>
  <sheetViews>
    <sheetView workbookViewId="0">
      <pane ySplit="1" topLeftCell="C46" activePane="bottomLeft" state="frozen"/>
      <selection pane="bottomLeft" activeCell="C46" sqref="C46"/>
    </sheetView>
  </sheetViews>
  <sheetFormatPr defaultRowHeight="15"/>
  <cols>
    <col min="1" max="1" width="35.28515625" style="12" bestFit="1" customWidth="1"/>
    <col min="2" max="2" width="47.28515625" style="12" customWidth="1"/>
    <col min="3" max="3" width="81" style="12" customWidth="1"/>
    <col min="4" max="16384" width="9.140625" style="12"/>
  </cols>
  <sheetData>
    <row r="1" spans="1:3">
      <c r="A1" s="12" t="s">
        <v>4034</v>
      </c>
      <c r="B1" s="12" t="s">
        <v>4035</v>
      </c>
      <c r="C1" s="12" t="s">
        <v>4036</v>
      </c>
    </row>
    <row r="2" spans="1:3" ht="165">
      <c r="A2" s="12" t="s">
        <v>4037</v>
      </c>
      <c r="B2" s="14" t="s">
        <v>4038</v>
      </c>
      <c r="C2" s="155" t="s">
        <v>4039</v>
      </c>
    </row>
    <row r="3" spans="1:3" ht="75.75" customHeight="1">
      <c r="A3" s="12" t="s">
        <v>4040</v>
      </c>
      <c r="B3" s="14" t="str">
        <f>CONCATENATE(A3," accepts transfers from RichmondCC, provided students meet the transfer requirements (different depending on the number of credit hours the student wants to transfer)")</f>
        <v>Appalachian State University accepts transfers from RichmondCC, provided students meet the transfer requirements (different depending on the number of credit hours the student wants to transfer)</v>
      </c>
      <c r="C3" s="155" t="s">
        <v>4041</v>
      </c>
    </row>
    <row r="4" spans="1:3" ht="180">
      <c r="A4" s="12" t="s">
        <v>83</v>
      </c>
      <c r="B4" s="14" t="s">
        <v>4042</v>
      </c>
      <c r="C4" s="155" t="s">
        <v>4043</v>
      </c>
    </row>
    <row r="5" spans="1:3" ht="240">
      <c r="A5" s="12" t="s">
        <v>4044</v>
      </c>
      <c r="B5" s="14" t="s">
        <v>4045</v>
      </c>
      <c r="C5" s="155" t="s">
        <v>4046</v>
      </c>
    </row>
    <row r="6" spans="1:3" ht="165">
      <c r="A6" s="12" t="s">
        <v>4047</v>
      </c>
      <c r="B6" s="14" t="s">
        <v>4048</v>
      </c>
      <c r="C6" s="155" t="s">
        <v>4049</v>
      </c>
    </row>
    <row r="7" spans="1:3" ht="225">
      <c r="A7" s="14" t="s">
        <v>84</v>
      </c>
      <c r="B7" s="156" t="s">
        <v>4050</v>
      </c>
      <c r="C7" s="155" t="s">
        <v>4051</v>
      </c>
    </row>
    <row r="8" spans="1:3" ht="210">
      <c r="A8" s="12" t="s">
        <v>188</v>
      </c>
      <c r="B8" s="14" t="s">
        <v>4052</v>
      </c>
      <c r="C8" s="155" t="s">
        <v>4053</v>
      </c>
    </row>
    <row r="9" spans="1:3" ht="90">
      <c r="A9" s="12" t="s">
        <v>190</v>
      </c>
      <c r="B9" s="139" t="s">
        <v>4054</v>
      </c>
      <c r="C9" s="155" t="s">
        <v>4055</v>
      </c>
    </row>
    <row r="10" spans="1:3" ht="75">
      <c r="A10" s="12" t="s">
        <v>4056</v>
      </c>
      <c r="B10" s="14" t="s">
        <v>4057</v>
      </c>
      <c r="C10" s="155" t="s">
        <v>4058</v>
      </c>
    </row>
    <row r="11" spans="1:3" ht="165">
      <c r="A11" s="12" t="s">
        <v>4059</v>
      </c>
      <c r="B11" s="14" t="s">
        <v>4060</v>
      </c>
      <c r="C11" s="155" t="s">
        <v>4061</v>
      </c>
    </row>
    <row r="12" spans="1:3" ht="135">
      <c r="A12" s="12" t="s">
        <v>4062</v>
      </c>
      <c r="B12" s="157" t="s">
        <v>4063</v>
      </c>
      <c r="C12" s="155" t="s">
        <v>4041</v>
      </c>
    </row>
    <row r="13" spans="1:3" ht="75">
      <c r="A13" s="12" t="s">
        <v>4064</v>
      </c>
      <c r="B13" s="14" t="str">
        <f>CONCATENATE(A13," accepts transfers from RichmondCC, provided students meet the transfer requirements (different depending on the number of credit hours the student wants to transfer)")</f>
        <v>Elizabeth City State University accepts transfers from RichmondCC, provided students meet the transfer requirements (different depending on the number of credit hours the student wants to transfer)</v>
      </c>
      <c r="C13" s="155" t="s">
        <v>4041</v>
      </c>
    </row>
    <row r="14" spans="1:3" ht="165">
      <c r="A14" s="12" t="s">
        <v>116</v>
      </c>
      <c r="B14" s="157" t="s">
        <v>4065</v>
      </c>
      <c r="C14" s="155" t="s">
        <v>4066</v>
      </c>
    </row>
    <row r="15" spans="1:3" ht="60">
      <c r="A15" s="12" t="s">
        <v>4067</v>
      </c>
      <c r="B15" s="14" t="str">
        <f>CONCATENATE(A15," accepts transfers from RichmondCC, provided students meet the transfer requirements (different depending on the number of credit hours the student wants to transfer)")</f>
        <v>Fayetteville State University accepts transfers from RichmondCC, provided students meet the transfer requirements (different depending on the number of credit hours the student wants to transfer)</v>
      </c>
      <c r="C15" s="155" t="s">
        <v>4041</v>
      </c>
    </row>
    <row r="16" spans="1:3" ht="165">
      <c r="A16" s="12" t="s">
        <v>56</v>
      </c>
      <c r="B16" s="157" t="s">
        <v>4068</v>
      </c>
      <c r="C16" s="155" t="s">
        <v>4069</v>
      </c>
    </row>
    <row r="17" spans="1:3" ht="345">
      <c r="A17" s="12" t="s">
        <v>99</v>
      </c>
      <c r="B17" s="157" t="s">
        <v>4070</v>
      </c>
      <c r="C17" s="155" t="s">
        <v>4071</v>
      </c>
    </row>
    <row r="18" spans="1:3" ht="236.25">
      <c r="A18" s="12" t="s">
        <v>101</v>
      </c>
      <c r="B18" s="158" t="s">
        <v>4072</v>
      </c>
      <c r="C18" s="155" t="s">
        <v>4073</v>
      </c>
    </row>
    <row r="19" spans="1:3" ht="120">
      <c r="A19" s="12" t="s">
        <v>4074</v>
      </c>
      <c r="B19" s="14" t="s">
        <v>4075</v>
      </c>
      <c r="C19" s="155" t="s">
        <v>4076</v>
      </c>
    </row>
    <row r="20" spans="1:3" ht="135">
      <c r="A20" s="12" t="s">
        <v>4077</v>
      </c>
      <c r="B20" s="157" t="s">
        <v>4078</v>
      </c>
      <c r="C20" s="155" t="s">
        <v>4079</v>
      </c>
    </row>
    <row r="21" spans="1:3" ht="135">
      <c r="A21" s="12" t="s">
        <v>4080</v>
      </c>
      <c r="B21" s="157" t="s">
        <v>4081</v>
      </c>
      <c r="C21" s="155" t="s">
        <v>4041</v>
      </c>
    </row>
    <row r="22" spans="1:3" ht="120">
      <c r="A22" s="12" t="s">
        <v>4082</v>
      </c>
      <c r="B22" s="14" t="s">
        <v>4083</v>
      </c>
      <c r="C22" s="155" t="s">
        <v>4041</v>
      </c>
    </row>
    <row r="23" spans="1:3" ht="105">
      <c r="A23" s="12" t="s">
        <v>102</v>
      </c>
      <c r="B23" s="14" t="s">
        <v>4084</v>
      </c>
      <c r="C23" s="155" t="s">
        <v>4041</v>
      </c>
    </row>
    <row r="24" spans="1:3" ht="165">
      <c r="A24" s="12" t="s">
        <v>4085</v>
      </c>
      <c r="B24" s="14" t="s">
        <v>4086</v>
      </c>
      <c r="C24" s="155" t="s">
        <v>4087</v>
      </c>
    </row>
    <row r="25" spans="1:3" ht="150">
      <c r="A25" s="12" t="s">
        <v>4088</v>
      </c>
      <c r="B25" s="14" t="s">
        <v>4089</v>
      </c>
      <c r="C25" s="155" t="s">
        <v>4090</v>
      </c>
    </row>
    <row r="26" spans="1:3" ht="75">
      <c r="A26" s="12" t="s">
        <v>100</v>
      </c>
      <c r="B26" s="157" t="s">
        <v>4091</v>
      </c>
      <c r="C26" s="155" t="s">
        <v>4092</v>
      </c>
    </row>
    <row r="27" spans="1:3" ht="105">
      <c r="A27" s="12" t="s">
        <v>4093</v>
      </c>
      <c r="B27" s="14" t="s">
        <v>4094</v>
      </c>
      <c r="C27" s="155" t="s">
        <v>4095</v>
      </c>
    </row>
    <row r="28" spans="1:3" ht="405">
      <c r="A28" s="12" t="s">
        <v>4096</v>
      </c>
      <c r="B28" s="14" t="s">
        <v>4097</v>
      </c>
      <c r="C28" s="155" t="s">
        <v>4098</v>
      </c>
    </row>
    <row r="29" spans="1:3" ht="105">
      <c r="A29" s="12" t="s">
        <v>4099</v>
      </c>
      <c r="B29" s="26" t="s">
        <v>4100</v>
      </c>
      <c r="C29" s="155" t="s">
        <v>4041</v>
      </c>
    </row>
    <row r="30" spans="1:3" ht="90">
      <c r="A30" s="12" t="s">
        <v>103</v>
      </c>
      <c r="B30" s="26" t="s">
        <v>4101</v>
      </c>
      <c r="C30" s="155" t="s">
        <v>4041</v>
      </c>
    </row>
    <row r="31" spans="1:3" ht="105">
      <c r="A31" s="12" t="s">
        <v>117</v>
      </c>
      <c r="B31" s="26" t="s">
        <v>4102</v>
      </c>
      <c r="C31" s="155" t="s">
        <v>4041</v>
      </c>
    </row>
    <row r="32" spans="1:3" ht="105">
      <c r="A32" s="12" t="s">
        <v>98</v>
      </c>
      <c r="B32" s="26" t="s">
        <v>4103</v>
      </c>
      <c r="C32" s="155" t="s">
        <v>4041</v>
      </c>
    </row>
    <row r="33" spans="1:3" ht="150">
      <c r="A33" s="12" t="s">
        <v>86</v>
      </c>
      <c r="B33" s="26" t="s">
        <v>4104</v>
      </c>
      <c r="C33" s="155" t="s">
        <v>4041</v>
      </c>
    </row>
    <row r="34" spans="1:3" ht="120">
      <c r="A34" s="12" t="s">
        <v>97</v>
      </c>
      <c r="B34" s="157" t="s">
        <v>4105</v>
      </c>
      <c r="C34" s="155" t="s">
        <v>4041</v>
      </c>
    </row>
    <row r="35" spans="1:3" ht="60">
      <c r="A35" s="12" t="s">
        <v>4106</v>
      </c>
      <c r="B35" s="157" t="s">
        <v>4107</v>
      </c>
      <c r="C35" s="155" t="s">
        <v>4108</v>
      </c>
    </row>
    <row r="36" spans="1:3" ht="105">
      <c r="A36" s="12" t="s">
        <v>115</v>
      </c>
      <c r="B36" s="26" t="s">
        <v>4109</v>
      </c>
      <c r="C36" s="155" t="s">
        <v>4041</v>
      </c>
    </row>
    <row r="37" spans="1:3" ht="105">
      <c r="A37" s="12" t="s">
        <v>57</v>
      </c>
      <c r="B37" s="157" t="s">
        <v>4110</v>
      </c>
      <c r="C37" s="155" t="s">
        <v>4111</v>
      </c>
    </row>
    <row r="38" spans="1:3" ht="345">
      <c r="A38" s="12" t="s">
        <v>4112</v>
      </c>
      <c r="B38" s="100" t="s">
        <v>4113</v>
      </c>
      <c r="C38" s="155" t="s">
        <v>4114</v>
      </c>
    </row>
    <row r="39" spans="1:3" ht="75">
      <c r="A39" s="12" t="s">
        <v>4115</v>
      </c>
      <c r="B39" s="26" t="s">
        <v>4116</v>
      </c>
      <c r="C39" s="155" t="s">
        <v>4041</v>
      </c>
    </row>
    <row r="40" spans="1:3" ht="105">
      <c r="A40" s="12" t="s">
        <v>544</v>
      </c>
      <c r="B40" s="14" t="s">
        <v>4117</v>
      </c>
      <c r="C40" s="155" t="s">
        <v>4118</v>
      </c>
    </row>
    <row r="41" spans="1:3" ht="150">
      <c r="A41" s="12" t="s">
        <v>55</v>
      </c>
      <c r="B41" s="14" t="s">
        <v>4119</v>
      </c>
      <c r="C41" s="159" t="s">
        <v>4120</v>
      </c>
    </row>
    <row r="42" spans="1:3" ht="195">
      <c r="A42" s="12" t="s">
        <v>4121</v>
      </c>
      <c r="B42" s="14" t="s">
        <v>4122</v>
      </c>
      <c r="C42" s="159" t="s">
        <v>4123</v>
      </c>
    </row>
    <row r="43" spans="1:3" ht="240">
      <c r="A43" s="12" t="s">
        <v>4124</v>
      </c>
      <c r="B43" s="14" t="s">
        <v>4125</v>
      </c>
      <c r="C43" s="159" t="s">
        <v>4126</v>
      </c>
    </row>
    <row r="44" spans="1:3" ht="275.25">
      <c r="A44" s="12" t="s">
        <v>4127</v>
      </c>
      <c r="B44" s="14" t="s">
        <v>4128</v>
      </c>
      <c r="C44" s="159" t="s">
        <v>4129</v>
      </c>
    </row>
    <row r="45" spans="1:3" ht="255">
      <c r="A45" s="12" t="s">
        <v>4130</v>
      </c>
      <c r="B45" s="14" t="s">
        <v>4131</v>
      </c>
      <c r="C45" s="160" t="s">
        <v>4132</v>
      </c>
    </row>
    <row r="46" spans="1:3" ht="244.5">
      <c r="A46" s="12" t="s">
        <v>4133</v>
      </c>
      <c r="B46" s="14" t="s">
        <v>4134</v>
      </c>
      <c r="C46" s="37" t="s">
        <v>4135</v>
      </c>
    </row>
  </sheetData>
  <autoFilter ref="A1:C40" xr:uid="{978BEC18-60FA-4EC8-8E65-AD1F52424591}"/>
  <sortState xmlns:xlrd2="http://schemas.microsoft.com/office/spreadsheetml/2017/richdata2" ref="A2:C39">
    <sortCondition ref="A2:A39"/>
  </sortState>
  <hyperlinks>
    <hyperlink ref="C3" r:id="rId1" xr:uid="{701CCC41-7D74-4D0A-BB83-1F7DFEB8FC8F}"/>
    <hyperlink ref="C16" r:id="rId2" xr:uid="{B5AE5514-9049-4721-8A6D-FFD7ED28690A}"/>
    <hyperlink ref="C21" r:id="rId3" xr:uid="{D22B6F8D-70DE-46D4-B343-4FDE9D48A044}"/>
    <hyperlink ref="C22" r:id="rId4" xr:uid="{0621DC41-C9AA-462D-A181-48B142965BDF}"/>
    <hyperlink ref="C23" r:id="rId5" xr:uid="{EEEB5572-3A90-4577-B8C5-0AC33AC25420}"/>
    <hyperlink ref="C26" r:id="rId6" xr:uid="{4CE41439-22A6-4B50-A121-8B5C904F50F2}"/>
    <hyperlink ref="C29" r:id="rId7" xr:uid="{4E2A0C37-2830-4F4B-8833-229FD9CFC135}"/>
    <hyperlink ref="C30" r:id="rId8" xr:uid="{F8B5F1ED-5421-4B3F-A038-7F6438910304}"/>
    <hyperlink ref="C31" r:id="rId9" xr:uid="{503B7E4B-2085-496D-BE76-298CD01952D2}"/>
    <hyperlink ref="C32" r:id="rId10" xr:uid="{8B73A0FE-E2B1-4F35-8012-762983488D0F}"/>
    <hyperlink ref="C33" r:id="rId11" xr:uid="{B32B5273-EB0B-4DA6-9F83-87AF338F4621}"/>
    <hyperlink ref="C34" r:id="rId12" xr:uid="{F775B578-E36C-4E38-B05D-EFF56BC95461}"/>
    <hyperlink ref="C36" r:id="rId13" xr:uid="{9B93771B-2837-42F4-A8FF-18FBA5800684}"/>
    <hyperlink ref="C39" r:id="rId14" xr:uid="{398D801E-B0B3-45F3-9913-5B5CB23DE5E3}"/>
    <hyperlink ref="C25" r:id="rId15" xr:uid="{ED46C2EA-E3E8-47E0-8E9D-920800501610}"/>
    <hyperlink ref="C5" r:id="rId16" xr:uid="{65F18892-A1CD-4ED7-A37B-294EE1011B8B}"/>
    <hyperlink ref="C2" r:id="rId17" xr:uid="{64E4D43C-8B99-448F-B09B-7FB0CF707BC1}"/>
    <hyperlink ref="C11" r:id="rId18" xr:uid="{0E85E3DF-7668-455A-A54F-6B6AB8CADC88}"/>
    <hyperlink ref="C10" r:id="rId19" xr:uid="{96E0B060-3E6B-41A3-8C98-803608713BD4}"/>
    <hyperlink ref="C6" r:id="rId20" xr:uid="{5F0CDFEC-398B-4BFB-BEBC-DEECEA040B2C}"/>
    <hyperlink ref="C27" r:id="rId21" xr:uid="{E0630622-B4BA-4375-8F85-E37682E0D1BC}"/>
    <hyperlink ref="C4" r:id="rId22" xr:uid="{7BDC5829-AC7A-4B05-9692-2A636809E1FB}"/>
    <hyperlink ref="C7" r:id="rId23" xr:uid="{8FB247A5-C24E-4948-A648-8CECE90DA458}"/>
    <hyperlink ref="C8" r:id="rId24" xr:uid="{7CC0C580-29D0-4A9B-9E81-C4B99644163A}"/>
    <hyperlink ref="C14" r:id="rId25" xr:uid="{E006AD1F-12CB-4DE6-94E4-A67014D52D9F}"/>
    <hyperlink ref="C18" r:id="rId26" xr:uid="{9C042C99-3E0A-4E40-9139-38A8A08E2992}"/>
    <hyperlink ref="C19" r:id="rId27" xr:uid="{15BAD70C-283F-4CBF-8DF7-A8A1D2117F3F}"/>
    <hyperlink ref="C20" r:id="rId28" xr:uid="{0B55098B-9912-4784-9099-8A7ED91DC9A1}"/>
    <hyperlink ref="C24" r:id="rId29" xr:uid="{E1E92A06-484C-4F53-98EE-D59798547146}"/>
    <hyperlink ref="C28" r:id="rId30" xr:uid="{3F845717-1C44-49DC-B8EB-DE490EA73CBD}"/>
    <hyperlink ref="C35" r:id="rId31" xr:uid="{EE669DE6-5B9B-409A-BC1D-93405A2A0D38}"/>
    <hyperlink ref="C37" r:id="rId32" xr:uid="{A88DC3C2-B445-4E93-ABFB-BF47FB480B09}"/>
    <hyperlink ref="C38" r:id="rId33" xr:uid="{1C7FEE75-4084-4DA8-B95B-6F03228ACE03}"/>
    <hyperlink ref="C9" r:id="rId34" xr:uid="{4105830A-9D97-46E0-BB21-4F45A4A0DE03}"/>
    <hyperlink ref="C40" r:id="rId35" xr:uid="{EE460D00-5F88-40FB-91BF-2A193F70D835}"/>
    <hyperlink ref="C12" r:id="rId36" xr:uid="{391F7415-1FFA-4013-B25C-2B0831661F1A}"/>
    <hyperlink ref="C13" r:id="rId37" xr:uid="{BE1E9BE2-274B-4FE7-82D0-2E5B6A7C519A}"/>
    <hyperlink ref="C15" r:id="rId38" xr:uid="{4C8FDF98-0107-4882-A012-1E1C866C528B}"/>
    <hyperlink ref="C41" r:id="rId39" xr:uid="{38671B4A-4CA8-4F4F-9703-747311309CF8}"/>
    <hyperlink ref="C42" r:id="rId40" xr:uid="{F61CB07E-DA3B-4119-A366-CA8108BB9F57}"/>
    <hyperlink ref="C43" r:id="rId41" xr:uid="{B4DE02D1-FE06-4FE5-A3FE-B7424841CD78}"/>
    <hyperlink ref="C44" r:id="rId42" xr:uid="{92D62FEC-A371-40C5-956B-AE3591194EAF}"/>
    <hyperlink ref="C17" r:id="rId43" xr:uid="{51FEB2DC-9EC9-4FDC-A48B-6C945618635F}"/>
    <hyperlink ref="C45" r:id="rId44" xr:uid="{5BFC706E-03CB-4700-920C-F9B3B60FAD31}"/>
    <hyperlink ref="C46" r:id="rId45" xr:uid="{12C896FE-2798-4C2F-96C9-7B2BDFBCF33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65FC8-27EE-4360-9EEA-DDDFD1F5F7D1}">
  <dimension ref="A1:C162"/>
  <sheetViews>
    <sheetView topLeftCell="A61" workbookViewId="0">
      <selection activeCell="A80" sqref="A80"/>
    </sheetView>
  </sheetViews>
  <sheetFormatPr defaultRowHeight="15" customHeight="1"/>
  <cols>
    <col min="1" max="1" width="27.85546875" style="29" customWidth="1"/>
    <col min="2" max="2" width="44.28515625" style="29" customWidth="1"/>
  </cols>
  <sheetData>
    <row r="1" spans="1:2">
      <c r="A1" s="149" t="s">
        <v>575</v>
      </c>
      <c r="B1" s="150" t="s">
        <v>4136</v>
      </c>
    </row>
    <row r="2" spans="1:2">
      <c r="A2" s="29" t="s">
        <v>785</v>
      </c>
      <c r="B2" s="151" t="s">
        <v>4067</v>
      </c>
    </row>
    <row r="3" spans="1:2">
      <c r="A3" s="29" t="s">
        <v>785</v>
      </c>
      <c r="B3" s="151" t="s">
        <v>99</v>
      </c>
    </row>
    <row r="4" spans="1:2">
      <c r="A4" s="29" t="s">
        <v>785</v>
      </c>
      <c r="B4" s="151" t="s">
        <v>86</v>
      </c>
    </row>
    <row r="5" spans="1:2">
      <c r="A5" s="29" t="s">
        <v>785</v>
      </c>
      <c r="B5" s="151" t="s">
        <v>55</v>
      </c>
    </row>
    <row r="6" spans="1:2">
      <c r="A6" s="29" t="s">
        <v>785</v>
      </c>
      <c r="B6" s="151" t="s">
        <v>57</v>
      </c>
    </row>
    <row r="7" spans="1:2" ht="15.75" customHeight="1">
      <c r="A7" s="29" t="s">
        <v>785</v>
      </c>
      <c r="B7" s="152" t="s">
        <v>100</v>
      </c>
    </row>
    <row r="8" spans="1:2">
      <c r="A8" s="29" t="s">
        <v>794</v>
      </c>
      <c r="B8" s="153" t="s">
        <v>4121</v>
      </c>
    </row>
    <row r="9" spans="1:2">
      <c r="A9" s="29" t="s">
        <v>828</v>
      </c>
      <c r="B9" s="153" t="s">
        <v>83</v>
      </c>
    </row>
    <row r="10" spans="1:2">
      <c r="A10" s="29" t="s">
        <v>828</v>
      </c>
      <c r="B10" s="151" t="s">
        <v>84</v>
      </c>
    </row>
    <row r="11" spans="1:2">
      <c r="A11" s="29" t="s">
        <v>828</v>
      </c>
      <c r="B11" s="151" t="s">
        <v>99</v>
      </c>
    </row>
    <row r="12" spans="1:2">
      <c r="A12" s="29" t="s">
        <v>828</v>
      </c>
      <c r="B12" s="151" t="s">
        <v>100</v>
      </c>
    </row>
    <row r="13" spans="1:2" ht="17.25" customHeight="1">
      <c r="A13" s="29" t="s">
        <v>828</v>
      </c>
      <c r="B13" s="151" t="s">
        <v>86</v>
      </c>
    </row>
    <row r="14" spans="1:2">
      <c r="A14" s="29" t="s">
        <v>828</v>
      </c>
      <c r="B14" s="151" t="s">
        <v>57</v>
      </c>
    </row>
    <row r="15" spans="1:2">
      <c r="A15" s="29" t="s">
        <v>828</v>
      </c>
      <c r="B15" s="151" t="s">
        <v>4115</v>
      </c>
    </row>
    <row r="16" spans="1:2" s="64" customFormat="1">
      <c r="A16" s="29" t="s">
        <v>584</v>
      </c>
      <c r="B16" s="151" t="s">
        <v>4062</v>
      </c>
    </row>
    <row r="17" spans="1:2" s="64" customFormat="1">
      <c r="A17" s="29" t="s">
        <v>584</v>
      </c>
      <c r="B17" s="151" t="s">
        <v>4093</v>
      </c>
    </row>
    <row r="18" spans="1:2" s="64" customFormat="1">
      <c r="A18" s="29" t="s">
        <v>649</v>
      </c>
      <c r="B18" s="151" t="s">
        <v>4093</v>
      </c>
    </row>
    <row r="19" spans="1:2" s="64" customFormat="1">
      <c r="A19" s="29" t="s">
        <v>584</v>
      </c>
      <c r="B19" s="151" t="s">
        <v>4059</v>
      </c>
    </row>
    <row r="20" spans="1:2" s="64" customFormat="1">
      <c r="A20" s="29" t="s">
        <v>649</v>
      </c>
      <c r="B20" s="151" t="s">
        <v>4059</v>
      </c>
    </row>
    <row r="21" spans="1:2" s="64" customFormat="1">
      <c r="A21" s="29" t="s">
        <v>584</v>
      </c>
      <c r="B21" s="151" t="s">
        <v>4056</v>
      </c>
    </row>
    <row r="22" spans="1:2" s="64" customFormat="1">
      <c r="A22" s="29" t="s">
        <v>649</v>
      </c>
      <c r="B22" s="151" t="s">
        <v>4056</v>
      </c>
    </row>
    <row r="23" spans="1:2" s="64" customFormat="1">
      <c r="A23" s="29" t="s">
        <v>584</v>
      </c>
      <c r="B23" s="151" t="s">
        <v>4037</v>
      </c>
    </row>
    <row r="24" spans="1:2" s="64" customFormat="1">
      <c r="A24" s="29" t="s">
        <v>649</v>
      </c>
      <c r="B24" s="151" t="s">
        <v>4037</v>
      </c>
    </row>
    <row r="25" spans="1:2" s="64" customFormat="1">
      <c r="A25" s="29" t="s">
        <v>584</v>
      </c>
      <c r="B25" s="153" t="s">
        <v>4047</v>
      </c>
    </row>
    <row r="26" spans="1:2" s="64" customFormat="1">
      <c r="A26" s="29" t="s">
        <v>649</v>
      </c>
      <c r="B26" s="153" t="s">
        <v>4047</v>
      </c>
    </row>
    <row r="27" spans="1:2" s="64" customFormat="1">
      <c r="A27" s="29" t="s">
        <v>584</v>
      </c>
      <c r="B27" s="153" t="s">
        <v>4137</v>
      </c>
    </row>
    <row r="28" spans="1:2" s="64" customFormat="1">
      <c r="A28" s="29" t="s">
        <v>649</v>
      </c>
      <c r="B28" s="153" t="s">
        <v>4137</v>
      </c>
    </row>
    <row r="29" spans="1:2" s="64" customFormat="1">
      <c r="A29" s="29" t="s">
        <v>584</v>
      </c>
      <c r="B29" s="153" t="s">
        <v>4138</v>
      </c>
    </row>
    <row r="30" spans="1:2" s="64" customFormat="1">
      <c r="A30" s="29" t="s">
        <v>649</v>
      </c>
      <c r="B30" s="153" t="s">
        <v>4138</v>
      </c>
    </row>
    <row r="31" spans="1:2" s="64" customFormat="1">
      <c r="A31" s="29" t="s">
        <v>584</v>
      </c>
      <c r="B31" s="151" t="s">
        <v>4067</v>
      </c>
    </row>
    <row r="32" spans="1:2" s="64" customFormat="1">
      <c r="A32" s="29" t="s">
        <v>584</v>
      </c>
      <c r="B32" s="151" t="s">
        <v>101</v>
      </c>
    </row>
    <row r="33" spans="1:2" s="64" customFormat="1">
      <c r="A33" s="29" t="s">
        <v>584</v>
      </c>
      <c r="B33" s="151" t="s">
        <v>4080</v>
      </c>
    </row>
    <row r="34" spans="1:2" s="64" customFormat="1">
      <c r="A34" s="29" t="s">
        <v>584</v>
      </c>
      <c r="B34" s="151" t="s">
        <v>98</v>
      </c>
    </row>
    <row r="35" spans="1:2" s="64" customFormat="1">
      <c r="A35" s="29" t="s">
        <v>584</v>
      </c>
      <c r="B35" s="151" t="s">
        <v>97</v>
      </c>
    </row>
    <row r="36" spans="1:2" s="64" customFormat="1">
      <c r="A36" s="29" t="s">
        <v>584</v>
      </c>
      <c r="B36" s="151" t="s">
        <v>99</v>
      </c>
    </row>
    <row r="37" spans="1:2" s="64" customFormat="1">
      <c r="A37" s="29" t="s">
        <v>584</v>
      </c>
      <c r="B37" s="151" t="s">
        <v>57</v>
      </c>
    </row>
    <row r="38" spans="1:2" s="64" customFormat="1">
      <c r="A38" s="29" t="s">
        <v>584</v>
      </c>
      <c r="B38" s="151" t="s">
        <v>56</v>
      </c>
    </row>
    <row r="39" spans="1:2" s="64" customFormat="1">
      <c r="A39" s="29" t="s">
        <v>584</v>
      </c>
      <c r="B39" s="154" t="s">
        <v>4067</v>
      </c>
    </row>
    <row r="40" spans="1:2" s="64" customFormat="1">
      <c r="A40" s="29" t="s">
        <v>584</v>
      </c>
      <c r="B40" s="150" t="s">
        <v>104</v>
      </c>
    </row>
    <row r="41" spans="1:2" s="64" customFormat="1">
      <c r="A41" s="29" t="s">
        <v>612</v>
      </c>
      <c r="B41" s="152" t="s">
        <v>4067</v>
      </c>
    </row>
    <row r="42" spans="1:2" s="64" customFormat="1">
      <c r="A42" s="29" t="s">
        <v>612</v>
      </c>
      <c r="B42" s="150" t="s">
        <v>97</v>
      </c>
    </row>
    <row r="43" spans="1:2" s="64" customFormat="1">
      <c r="A43" s="29" t="s">
        <v>612</v>
      </c>
      <c r="B43" s="150" t="s">
        <v>99</v>
      </c>
    </row>
    <row r="44" spans="1:2" s="64" customFormat="1">
      <c r="A44" s="29" t="s">
        <v>612</v>
      </c>
      <c r="B44" s="154" t="s">
        <v>100</v>
      </c>
    </row>
    <row r="45" spans="1:2" s="64" customFormat="1">
      <c r="A45" s="29" t="s">
        <v>649</v>
      </c>
      <c r="B45" s="154" t="s">
        <v>4067</v>
      </c>
    </row>
    <row r="46" spans="1:2" s="64" customFormat="1">
      <c r="A46" s="29" t="s">
        <v>649</v>
      </c>
      <c r="B46" s="150" t="s">
        <v>99</v>
      </c>
    </row>
    <row r="47" spans="1:2" s="64" customFormat="1">
      <c r="A47" s="29" t="s">
        <v>658</v>
      </c>
      <c r="B47" s="150" t="s">
        <v>104</v>
      </c>
    </row>
    <row r="48" spans="1:2" s="64" customFormat="1">
      <c r="A48" s="29" t="s">
        <v>679</v>
      </c>
      <c r="B48" s="152" t="s">
        <v>100</v>
      </c>
    </row>
    <row r="49" spans="1:3" s="64" customFormat="1">
      <c r="A49" s="29" t="s">
        <v>679</v>
      </c>
      <c r="B49" s="152" t="s">
        <v>4067</v>
      </c>
    </row>
    <row r="50" spans="1:3" s="64" customFormat="1">
      <c r="A50" s="29" t="s">
        <v>679</v>
      </c>
      <c r="B50" s="150" t="s">
        <v>99</v>
      </c>
    </row>
    <row r="51" spans="1:3" s="64" customFormat="1">
      <c r="A51" s="29" t="s">
        <v>679</v>
      </c>
      <c r="B51" s="150" t="s">
        <v>97</v>
      </c>
    </row>
    <row r="52" spans="1:3" s="64" customFormat="1">
      <c r="A52" s="29" t="s">
        <v>649</v>
      </c>
      <c r="B52" s="151" t="s">
        <v>4062</v>
      </c>
    </row>
    <row r="53" spans="1:3" s="64" customFormat="1">
      <c r="A53" s="29" t="s">
        <v>649</v>
      </c>
      <c r="B53" s="151" t="s">
        <v>4067</v>
      </c>
    </row>
    <row r="54" spans="1:3" s="64" customFormat="1">
      <c r="A54" s="29" t="s">
        <v>649</v>
      </c>
      <c r="B54" s="151" t="s">
        <v>101</v>
      </c>
    </row>
    <row r="55" spans="1:3" s="64" customFormat="1">
      <c r="A55" s="29" t="s">
        <v>649</v>
      </c>
      <c r="B55" s="151" t="s">
        <v>4080</v>
      </c>
    </row>
    <row r="56" spans="1:3" s="64" customFormat="1">
      <c r="A56" s="29" t="s">
        <v>649</v>
      </c>
      <c r="B56" s="151" t="s">
        <v>98</v>
      </c>
    </row>
    <row r="57" spans="1:3" s="64" customFormat="1">
      <c r="A57" s="29" t="s">
        <v>649</v>
      </c>
      <c r="B57" s="151" t="s">
        <v>97</v>
      </c>
    </row>
    <row r="58" spans="1:3" s="64" customFormat="1">
      <c r="A58" s="29" t="s">
        <v>649</v>
      </c>
      <c r="B58" s="151" t="s">
        <v>117</v>
      </c>
    </row>
    <row r="59" spans="1:3" s="64" customFormat="1">
      <c r="A59" s="29" t="s">
        <v>649</v>
      </c>
      <c r="B59" s="151" t="s">
        <v>100</v>
      </c>
    </row>
    <row r="60" spans="1:3" s="64" customFormat="1">
      <c r="A60" s="29" t="s">
        <v>649</v>
      </c>
      <c r="B60" s="151" t="s">
        <v>57</v>
      </c>
    </row>
    <row r="61" spans="1:3" s="64" customFormat="1">
      <c r="A61" s="29" t="s">
        <v>649</v>
      </c>
      <c r="B61" s="151" t="s">
        <v>56</v>
      </c>
    </row>
    <row r="62" spans="1:3" s="64" customFormat="1">
      <c r="A62" s="29" t="s">
        <v>649</v>
      </c>
      <c r="B62" s="151" t="s">
        <v>104</v>
      </c>
      <c r="C62" s="81"/>
    </row>
    <row r="63" spans="1:3" s="64" customFormat="1">
      <c r="A63" s="29" t="s">
        <v>658</v>
      </c>
      <c r="B63" s="150" t="s">
        <v>104</v>
      </c>
    </row>
    <row r="64" spans="1:3">
      <c r="A64" s="29" t="s">
        <v>4139</v>
      </c>
      <c r="B64" s="151" t="s">
        <v>99</v>
      </c>
    </row>
    <row r="65" spans="1:2">
      <c r="A65" s="29" t="s">
        <v>4139</v>
      </c>
      <c r="B65" s="151" t="s">
        <v>188</v>
      </c>
    </row>
    <row r="66" spans="1:2">
      <c r="A66" s="29" t="s">
        <v>4139</v>
      </c>
      <c r="B66" s="151" t="s">
        <v>100</v>
      </c>
    </row>
    <row r="67" spans="1:2">
      <c r="A67" s="29" t="s">
        <v>4139</v>
      </c>
      <c r="B67" s="151" t="s">
        <v>55</v>
      </c>
    </row>
    <row r="68" spans="1:2">
      <c r="A68" s="29" t="s">
        <v>4139</v>
      </c>
      <c r="B68" s="151" t="s">
        <v>86</v>
      </c>
    </row>
    <row r="69" spans="1:2">
      <c r="A69" s="29" t="s">
        <v>4139</v>
      </c>
      <c r="B69" s="151" t="s">
        <v>57</v>
      </c>
    </row>
    <row r="70" spans="1:2">
      <c r="A70" s="29" t="s">
        <v>947</v>
      </c>
      <c r="B70" s="151" t="s">
        <v>190</v>
      </c>
    </row>
    <row r="71" spans="1:2">
      <c r="A71" s="29" t="s">
        <v>947</v>
      </c>
      <c r="B71" s="151" t="s">
        <v>188</v>
      </c>
    </row>
    <row r="72" spans="1:2">
      <c r="A72" s="29" t="s">
        <v>947</v>
      </c>
      <c r="B72" s="151" t="s">
        <v>4067</v>
      </c>
    </row>
    <row r="73" spans="1:2">
      <c r="A73" s="29" t="s">
        <v>947</v>
      </c>
      <c r="B73" s="151" t="s">
        <v>99</v>
      </c>
    </row>
    <row r="74" spans="1:2">
      <c r="A74" s="29" t="s">
        <v>947</v>
      </c>
      <c r="B74" s="151" t="s">
        <v>100</v>
      </c>
    </row>
    <row r="75" spans="1:2">
      <c r="A75" s="29" t="s">
        <v>947</v>
      </c>
      <c r="B75" s="151" t="s">
        <v>4085</v>
      </c>
    </row>
    <row r="76" spans="1:2">
      <c r="A76" s="29" t="s">
        <v>947</v>
      </c>
      <c r="B76" s="151" t="s">
        <v>86</v>
      </c>
    </row>
    <row r="77" spans="1:2" s="64" customFormat="1">
      <c r="A77" s="29" t="s">
        <v>749</v>
      </c>
      <c r="B77" s="151" t="s">
        <v>116</v>
      </c>
    </row>
    <row r="78" spans="1:2" s="64" customFormat="1">
      <c r="A78" s="29" t="s">
        <v>749</v>
      </c>
      <c r="B78" s="151" t="s">
        <v>57</v>
      </c>
    </row>
    <row r="79" spans="1:2">
      <c r="A79" s="29" t="s">
        <v>4140</v>
      </c>
      <c r="B79" s="151" t="s">
        <v>97</v>
      </c>
    </row>
    <row r="80" spans="1:2">
      <c r="A80" s="29" t="s">
        <v>4140</v>
      </c>
      <c r="B80" s="151" t="s">
        <v>99</v>
      </c>
    </row>
    <row r="81" spans="1:2">
      <c r="A81" s="29" t="s">
        <v>939</v>
      </c>
      <c r="B81" s="153" t="s">
        <v>4121</v>
      </c>
    </row>
    <row r="82" spans="1:2">
      <c r="A82" s="29" t="s">
        <v>939</v>
      </c>
      <c r="B82" s="151" t="s">
        <v>116</v>
      </c>
    </row>
    <row r="83" spans="1:2">
      <c r="A83" s="162" t="s">
        <v>976</v>
      </c>
      <c r="B83" s="150" t="s">
        <v>544</v>
      </c>
    </row>
    <row r="84" spans="1:2">
      <c r="A84" s="29" t="s">
        <v>734</v>
      </c>
      <c r="B84" s="151" t="s">
        <v>99</v>
      </c>
    </row>
    <row r="85" spans="1:2">
      <c r="A85" s="29" t="s">
        <v>4141</v>
      </c>
      <c r="B85" s="151" t="s">
        <v>99</v>
      </c>
    </row>
    <row r="86" spans="1:2">
      <c r="A86" s="29" t="s">
        <v>4142</v>
      </c>
      <c r="B86" s="151" t="s">
        <v>99</v>
      </c>
    </row>
    <row r="87" spans="1:2">
      <c r="A87" s="29" t="s">
        <v>4141</v>
      </c>
      <c r="B87" s="151" t="s">
        <v>101</v>
      </c>
    </row>
    <row r="88" spans="1:2">
      <c r="A88" s="29" t="s">
        <v>4142</v>
      </c>
      <c r="B88" s="151" t="s">
        <v>101</v>
      </c>
    </row>
    <row r="89" spans="1:2">
      <c r="A89" s="29" t="s">
        <v>4141</v>
      </c>
      <c r="B89" s="151" t="s">
        <v>4077</v>
      </c>
    </row>
    <row r="90" spans="1:2">
      <c r="A90" s="29" t="s">
        <v>4142</v>
      </c>
      <c r="B90" s="151" t="s">
        <v>4077</v>
      </c>
    </row>
    <row r="91" spans="1:2">
      <c r="A91" s="29" t="s">
        <v>4141</v>
      </c>
      <c r="B91" s="151" t="s">
        <v>86</v>
      </c>
    </row>
    <row r="92" spans="1:2">
      <c r="A92" s="29" t="s">
        <v>4142</v>
      </c>
      <c r="B92" s="151" t="s">
        <v>86</v>
      </c>
    </row>
    <row r="93" spans="1:2">
      <c r="A93" s="29" t="s">
        <v>4141</v>
      </c>
      <c r="B93" s="151" t="s">
        <v>4106</v>
      </c>
    </row>
    <row r="94" spans="1:2">
      <c r="A94" s="29" t="s">
        <v>4142</v>
      </c>
      <c r="B94" s="151" t="s">
        <v>4106</v>
      </c>
    </row>
    <row r="95" spans="1:2">
      <c r="A95" s="29" t="s">
        <v>4141</v>
      </c>
      <c r="B95" s="150" t="s">
        <v>97</v>
      </c>
    </row>
    <row r="96" spans="1:2">
      <c r="A96" s="29" t="s">
        <v>4142</v>
      </c>
      <c r="B96" s="150" t="s">
        <v>97</v>
      </c>
    </row>
    <row r="97" spans="1:2" s="82" customFormat="1">
      <c r="A97" s="29" t="s">
        <v>762</v>
      </c>
      <c r="B97" s="153" t="s">
        <v>4121</v>
      </c>
    </row>
    <row r="98" spans="1:2" s="64" customFormat="1">
      <c r="A98" s="29" t="s">
        <v>4143</v>
      </c>
      <c r="B98" s="151" t="s">
        <v>57</v>
      </c>
    </row>
    <row r="99" spans="1:2" s="64" customFormat="1">
      <c r="A99" s="29" t="s">
        <v>4143</v>
      </c>
      <c r="B99" s="152" t="s">
        <v>100</v>
      </c>
    </row>
    <row r="100" spans="1:2" s="64" customFormat="1">
      <c r="A100" s="29" t="s">
        <v>749</v>
      </c>
      <c r="B100" s="150" t="s">
        <v>4080</v>
      </c>
    </row>
    <row r="101" spans="1:2" s="64" customFormat="1">
      <c r="A101" s="29" t="s">
        <v>749</v>
      </c>
      <c r="B101" s="152" t="s">
        <v>99</v>
      </c>
    </row>
    <row r="102" spans="1:2" s="64" customFormat="1">
      <c r="A102" s="29" t="s">
        <v>762</v>
      </c>
      <c r="B102" s="151" t="s">
        <v>4080</v>
      </c>
    </row>
    <row r="103" spans="1:2" s="64" customFormat="1">
      <c r="A103" s="29" t="s">
        <v>777</v>
      </c>
      <c r="B103" s="151" t="s">
        <v>4080</v>
      </c>
    </row>
    <row r="104" spans="1:2" ht="30">
      <c r="A104" s="29" t="s">
        <v>817</v>
      </c>
      <c r="B104" s="151" t="s">
        <v>4121</v>
      </c>
    </row>
    <row r="105" spans="1:2">
      <c r="A105" s="162" t="s">
        <v>742</v>
      </c>
      <c r="B105" s="150" t="s">
        <v>544</v>
      </c>
    </row>
    <row r="106" spans="1:2">
      <c r="A106" s="162" t="s">
        <v>929</v>
      </c>
      <c r="B106" s="150" t="s">
        <v>544</v>
      </c>
    </row>
    <row r="107" spans="1:2" s="64" customFormat="1">
      <c r="A107" s="29" t="s">
        <v>770</v>
      </c>
      <c r="B107" s="151" t="s">
        <v>4080</v>
      </c>
    </row>
    <row r="108" spans="1:2" s="64" customFormat="1">
      <c r="A108" s="29" t="s">
        <v>770</v>
      </c>
      <c r="B108" s="151" t="s">
        <v>57</v>
      </c>
    </row>
    <row r="109" spans="1:2">
      <c r="A109" s="162" t="s">
        <v>933</v>
      </c>
      <c r="B109" s="150" t="s">
        <v>544</v>
      </c>
    </row>
    <row r="110" spans="1:2">
      <c r="A110" s="29" t="s">
        <v>584</v>
      </c>
      <c r="B110" s="29" t="s">
        <v>4124</v>
      </c>
    </row>
    <row r="111" spans="1:2">
      <c r="A111" s="29" t="s">
        <v>612</v>
      </c>
      <c r="B111" s="29" t="s">
        <v>4124</v>
      </c>
    </row>
    <row r="112" spans="1:2">
      <c r="A112" s="29" t="s">
        <v>649</v>
      </c>
      <c r="B112" s="29" t="s">
        <v>4124</v>
      </c>
    </row>
    <row r="113" spans="1:2">
      <c r="A113" s="29" t="s">
        <v>679</v>
      </c>
      <c r="B113" s="29" t="s">
        <v>4124</v>
      </c>
    </row>
    <row r="114" spans="1:2">
      <c r="A114" s="29" t="s">
        <v>584</v>
      </c>
      <c r="B114" s="148" t="s">
        <v>4127</v>
      </c>
    </row>
    <row r="115" spans="1:2">
      <c r="A115" s="29" t="s">
        <v>612</v>
      </c>
      <c r="B115" s="148" t="s">
        <v>4127</v>
      </c>
    </row>
    <row r="116" spans="1:2">
      <c r="A116" s="29" t="s">
        <v>649</v>
      </c>
      <c r="B116" s="148" t="s">
        <v>4127</v>
      </c>
    </row>
    <row r="117" spans="1:2">
      <c r="A117" s="29" t="s">
        <v>679</v>
      </c>
      <c r="B117" s="148" t="s">
        <v>4127</v>
      </c>
    </row>
    <row r="118" spans="1:2">
      <c r="A118" s="29" t="s">
        <v>584</v>
      </c>
      <c r="B118" s="148" t="s">
        <v>4047</v>
      </c>
    </row>
    <row r="119" spans="1:2">
      <c r="A119" s="29" t="s">
        <v>612</v>
      </c>
      <c r="B119" s="148" t="s">
        <v>4047</v>
      </c>
    </row>
    <row r="120" spans="1:2">
      <c r="A120" s="29" t="s">
        <v>649</v>
      </c>
      <c r="B120" s="148" t="s">
        <v>4047</v>
      </c>
    </row>
    <row r="121" spans="1:2">
      <c r="A121" s="29" t="s">
        <v>679</v>
      </c>
      <c r="B121" s="148" t="s">
        <v>4047</v>
      </c>
    </row>
    <row r="122" spans="1:2">
      <c r="A122" s="29" t="s">
        <v>584</v>
      </c>
      <c r="B122" s="148" t="s">
        <v>4047</v>
      </c>
    </row>
    <row r="123" spans="1:2">
      <c r="A123" s="29" t="s">
        <v>612</v>
      </c>
      <c r="B123" s="148" t="s">
        <v>4047</v>
      </c>
    </row>
    <row r="124" spans="1:2">
      <c r="A124" s="29" t="s">
        <v>679</v>
      </c>
      <c r="B124" s="148" t="s">
        <v>4047</v>
      </c>
    </row>
    <row r="125" spans="1:2">
      <c r="A125" s="29" t="s">
        <v>828</v>
      </c>
      <c r="B125" s="148" t="s">
        <v>4130</v>
      </c>
    </row>
    <row r="126" spans="1:2" ht="30.75">
      <c r="A126" s="29" t="s">
        <v>584</v>
      </c>
      <c r="B126" s="148" t="s">
        <v>4133</v>
      </c>
    </row>
    <row r="127" spans="1:2" ht="30.75">
      <c r="A127" s="29" t="s">
        <v>612</v>
      </c>
      <c r="B127" s="148" t="s">
        <v>4133</v>
      </c>
    </row>
    <row r="128" spans="1:2" ht="30.75">
      <c r="A128" s="29" t="s">
        <v>649</v>
      </c>
      <c r="B128" s="148" t="s">
        <v>4133</v>
      </c>
    </row>
    <row r="129" spans="1:2" ht="30.75">
      <c r="A129" s="29" t="s">
        <v>679</v>
      </c>
      <c r="B129" s="148" t="s">
        <v>4133</v>
      </c>
    </row>
    <row r="130" spans="1:2" ht="30.75">
      <c r="A130" s="29" t="s">
        <v>624</v>
      </c>
      <c r="B130" s="148" t="s">
        <v>4133</v>
      </c>
    </row>
    <row r="131" spans="1:2">
      <c r="A131" s="29" t="s">
        <v>2668</v>
      </c>
      <c r="B131" s="148" t="s">
        <v>101</v>
      </c>
    </row>
    <row r="132" spans="1:2">
      <c r="A132" s="29" t="s">
        <v>2668</v>
      </c>
      <c r="B132" s="148" t="s">
        <v>4077</v>
      </c>
    </row>
    <row r="133" spans="1:2">
      <c r="A133" s="29" t="s">
        <v>2668</v>
      </c>
      <c r="B133" s="148" t="s">
        <v>86</v>
      </c>
    </row>
    <row r="134" spans="1:2">
      <c r="A134" s="29" t="s">
        <v>2668</v>
      </c>
      <c r="B134" s="148" t="s">
        <v>97</v>
      </c>
    </row>
    <row r="135" spans="1:2">
      <c r="A135" s="29" t="s">
        <v>966</v>
      </c>
      <c r="B135" s="148" t="s">
        <v>4040</v>
      </c>
    </row>
    <row r="136" spans="1:2">
      <c r="A136" s="29" t="s">
        <v>966</v>
      </c>
      <c r="B136" s="148" t="s">
        <v>4062</v>
      </c>
    </row>
    <row r="137" spans="1:2">
      <c r="A137" s="29" t="s">
        <v>966</v>
      </c>
      <c r="B137" s="148" t="s">
        <v>4064</v>
      </c>
    </row>
    <row r="138" spans="1:2">
      <c r="A138" s="29" t="s">
        <v>966</v>
      </c>
      <c r="B138" s="148" t="s">
        <v>4067</v>
      </c>
    </row>
    <row r="139" spans="1:2">
      <c r="A139" s="29" t="s">
        <v>966</v>
      </c>
      <c r="B139" s="148" t="s">
        <v>4080</v>
      </c>
    </row>
    <row r="140" spans="1:2">
      <c r="A140" s="29" t="s">
        <v>966</v>
      </c>
      <c r="B140" s="148" t="s">
        <v>4082</v>
      </c>
    </row>
    <row r="141" spans="1:2">
      <c r="A141" s="29" t="s">
        <v>966</v>
      </c>
      <c r="B141" s="148" t="s">
        <v>117</v>
      </c>
    </row>
    <row r="142" spans="1:2">
      <c r="A142" s="29" t="s">
        <v>966</v>
      </c>
      <c r="B142" s="148" t="s">
        <v>98</v>
      </c>
    </row>
    <row r="143" spans="1:2">
      <c r="A143" s="29" t="s">
        <v>966</v>
      </c>
      <c r="B143" s="148" t="s">
        <v>86</v>
      </c>
    </row>
    <row r="144" spans="1:2">
      <c r="A144" s="29" t="s">
        <v>966</v>
      </c>
      <c r="B144" s="148" t="s">
        <v>97</v>
      </c>
    </row>
    <row r="145" spans="1:2">
      <c r="A145" s="29" t="s">
        <v>966</v>
      </c>
      <c r="B145" s="148" t="s">
        <v>115</v>
      </c>
    </row>
    <row r="146" spans="1:2">
      <c r="A146" s="29" t="s">
        <v>966</v>
      </c>
      <c r="B146" s="148" t="s">
        <v>4115</v>
      </c>
    </row>
    <row r="147" spans="1:2">
      <c r="A147" s="29" t="s">
        <v>974</v>
      </c>
      <c r="B147" s="148" t="s">
        <v>4062</v>
      </c>
    </row>
    <row r="148" spans="1:2">
      <c r="A148" s="29" t="s">
        <v>974</v>
      </c>
      <c r="B148" s="148" t="s">
        <v>4064</v>
      </c>
    </row>
    <row r="149" spans="1:2">
      <c r="A149" s="29" t="s">
        <v>974</v>
      </c>
      <c r="B149" s="148" t="s">
        <v>4067</v>
      </c>
    </row>
    <row r="150" spans="1:2">
      <c r="A150" s="29" t="s">
        <v>974</v>
      </c>
      <c r="B150" s="148" t="s">
        <v>4080</v>
      </c>
    </row>
    <row r="151" spans="1:2">
      <c r="A151" s="29" t="s">
        <v>974</v>
      </c>
      <c r="B151" s="148" t="s">
        <v>4082</v>
      </c>
    </row>
    <row r="152" spans="1:2">
      <c r="A152" s="29" t="s">
        <v>974</v>
      </c>
      <c r="B152" s="148" t="s">
        <v>98</v>
      </c>
    </row>
    <row r="153" spans="1:2">
      <c r="A153" s="29" t="s">
        <v>974</v>
      </c>
      <c r="B153" s="148" t="s">
        <v>115</v>
      </c>
    </row>
    <row r="154" spans="1:2">
      <c r="A154" s="29" t="s">
        <v>974</v>
      </c>
      <c r="B154" s="148" t="s">
        <v>4115</v>
      </c>
    </row>
    <row r="155" spans="1:2">
      <c r="A155" s="29" t="s">
        <v>956</v>
      </c>
      <c r="B155" s="148" t="s">
        <v>99</v>
      </c>
    </row>
    <row r="156" spans="1:2">
      <c r="A156" s="29" t="s">
        <v>956</v>
      </c>
      <c r="B156" s="148" t="s">
        <v>4074</v>
      </c>
    </row>
    <row r="157" spans="1:2"/>
    <row r="158" spans="1:2"/>
    <row r="159" spans="1:2"/>
    <row r="160" spans="1:2"/>
    <row r="161"/>
    <row r="162"/>
  </sheetData>
  <autoFilter ref="A1:C162" xr:uid="{B8665FC8-27EE-4360-9EEA-DDDFD1F5F7D1}"/>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9C20822-F5A9-4839-B160-877C05C25F1F}">
          <x14:formula1>
            <xm:f>'Program Codes'!$E:$E</xm:f>
          </x14:formula1>
          <xm:sqref>A1:A1048576</xm:sqref>
        </x14:dataValidation>
        <x14:dataValidation type="list" allowBlank="1" showInputMessage="1" showErrorMessage="1" xr:uid="{D9A76EA1-D8B4-443C-B768-AF4B5F34CD64}">
          <x14:formula1>
            <xm:f>'Transfer Destinations'!$A:$A</xm:f>
          </x14:formula1>
          <xm:sqref>B1:B1048576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030B2F603C314991A255D84025C119" ma:contentTypeVersion="18" ma:contentTypeDescription="Create a new document." ma:contentTypeScope="" ma:versionID="76f6d34a3d3a7a81423426ecdd5ddcd3">
  <xsd:schema xmlns:xsd="http://www.w3.org/2001/XMLSchema" xmlns:xs="http://www.w3.org/2001/XMLSchema" xmlns:p="http://schemas.microsoft.com/office/2006/metadata/properties" xmlns:ns2="9cbf513b-0e32-4021-881f-c92abd076914" xmlns:ns3="76351340-f510-469d-97a0-c6e01c6975b7" targetNamespace="http://schemas.microsoft.com/office/2006/metadata/properties" ma:root="true" ma:fieldsID="27062ffcdfefbd7d22adb1c50cd3e763" ns2:_="" ns3:_="">
    <xsd:import namespace="9cbf513b-0e32-4021-881f-c92abd076914"/>
    <xsd:import namespace="76351340-f510-469d-97a0-c6e01c6975b7"/>
    <xsd:element name="properties">
      <xsd:complexType>
        <xsd:sequence>
          <xsd:element name="documentManagement">
            <xsd:complexType>
              <xsd:all>
                <xsd:element ref="ns2:MediaServiceMetadata" minOccurs="0"/>
                <xsd:element ref="ns2:MediaServiceFastMetadata" minOccurs="0"/>
                <xsd:element ref="ns2:MediaServiceDateTaken" minOccurs="0"/>
                <xsd:element ref="ns3:SharedWithUsers" minOccurs="0"/>
                <xsd:element ref="ns3:SharedWithDetails" minOccurs="0"/>
                <xsd:element ref="ns2:MediaServiceAutoTags" minOccurs="0"/>
                <xsd:element ref="ns2:MediaServiceLocation"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bf513b-0e32-4021-881f-c92abd0769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c0b3af0-d0e7-48ea-87b7-af75ecc9071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1340-f510-469d-97a0-c6e01c6975b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0797d1b-5f94-4c1b-a60e-93784a2d2af4}" ma:internalName="TaxCatchAll" ma:showField="CatchAllData" ma:web="76351340-f510-469d-97a0-c6e01c6975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cbf513b-0e32-4021-881f-c92abd076914">
      <Terms xmlns="http://schemas.microsoft.com/office/infopath/2007/PartnerControls"/>
    </lcf76f155ced4ddcb4097134ff3c332f>
    <TaxCatchAll xmlns="76351340-f510-469d-97a0-c6e01c6975b7" xsi:nil="true"/>
    <SharedWithUsers xmlns="76351340-f510-469d-97a0-c6e01c6975b7">
      <UserInfo>
        <DisplayName>Julie Hogan</DisplayName>
        <AccountId>476</AccountId>
        <AccountType/>
      </UserInfo>
      <UserInfo>
        <DisplayName>Patsy Stanley</DisplayName>
        <AccountId>85</AccountId>
        <AccountType/>
      </UserInfo>
      <UserInfo>
        <DisplayName>Chihoko Terry</DisplayName>
        <AccountId>27</AccountId>
        <AccountType/>
      </UserInfo>
    </SharedWithUsers>
  </documentManagement>
</p:properties>
</file>

<file path=customXml/itemProps1.xml><?xml version="1.0" encoding="utf-8"?>
<ds:datastoreItem xmlns:ds="http://schemas.openxmlformats.org/officeDocument/2006/customXml" ds:itemID="{4E424AE1-B94C-4C67-8966-7BC2FFEA639D}"/>
</file>

<file path=customXml/itemProps2.xml><?xml version="1.0" encoding="utf-8"?>
<ds:datastoreItem xmlns:ds="http://schemas.openxmlformats.org/officeDocument/2006/customXml" ds:itemID="{712B3AFB-9E3D-41AE-ABF9-3BB678AB1B65}"/>
</file>

<file path=customXml/itemProps3.xml><?xml version="1.0" encoding="utf-8"?>
<ds:datastoreItem xmlns:ds="http://schemas.openxmlformats.org/officeDocument/2006/customXml" ds:itemID="{EBD0FE88-7ABA-4C5E-8652-E6C5F76A5EA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2022-01-25T15:12:47Z</dcterms:created>
  <dcterms:modified xsi:type="dcterms:W3CDTF">2025-10-15T20:55:04Z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0x010100DF030B2F603C314991A255D84025C119</vt:lpwstr>
  </property>
  <property fmtid="{D5CDD505-2E9C-101B-9397-08002B2CF9AE}" pid="3" name="MediaServiceImageTags">
    <vt:lpwstr/>
  </property>
</Properties>
</file>